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2.xml" ContentType="application/vnd.openxmlformats-officedocument.drawing+xml"/>
  <Override PartName="/xl/ctrlProps/ctrlProp30.xml" ContentType="application/vnd.ms-excel.controlproperties+xml"/>
  <Override PartName="/xl/drawings/drawing13.xml" ContentType="application/vnd.openxmlformats-officedocument.drawing+xml"/>
  <Override PartName="/xl/ctrlProps/ctrlProp3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4.xml" ContentType="application/vnd.openxmlformats-officedocument.drawing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0" windowWidth="20490" windowHeight="7530" tabRatio="695" firstSheet="9" activeTab="13"/>
  </bookViews>
  <sheets>
    <sheet name="MENU" sheetId="1" r:id="rId1"/>
    <sheet name="PERFIL" sheetId="2" r:id="rId2"/>
    <sheet name="INVENTÁRIO" sheetId="3" r:id="rId3"/>
    <sheet name="DADOS ECONÔMICOS MENSAIS" sheetId="4" r:id="rId4"/>
    <sheet name="DADOS TÉCNICOS MENSAIS" sheetId="10" r:id="rId5"/>
    <sheet name="INDICADORES ECONÔMICOS MENSAIS" sheetId="11" r:id="rId6"/>
    <sheet name="INDICADORES TÉCNICOS MENSAIS" sheetId="5" r:id="rId7"/>
    <sheet name="INDICADORES ECÔNOMICOS ANUAIS" sheetId="13" r:id="rId8"/>
    <sheet name="INDICADORES TÉCNICOS ANUAIS" sheetId="14" r:id="rId9"/>
    <sheet name="CÁLCULO DO VOLUMOSO" sheetId="12" r:id="rId10"/>
    <sheet name="CUSTO IMPLANTAÇÃO FORRAGEIRAS" sheetId="15" r:id="rId11"/>
    <sheet name="ANÁLISES" sheetId="6" r:id="rId12"/>
    <sheet name="GRÁFICOS" sheetId="7" r:id="rId13"/>
    <sheet name="RETORNO MENSAL" sheetId="8" r:id="rId14"/>
  </sheets>
  <calcPr calcId="145621"/>
</workbook>
</file>

<file path=xl/calcChain.xml><?xml version="1.0" encoding="utf-8"?>
<calcChain xmlns="http://schemas.openxmlformats.org/spreadsheetml/2006/main">
  <c r="G101" i="3" l="1"/>
  <c r="G100" i="3"/>
  <c r="G99" i="3"/>
  <c r="G98" i="3"/>
  <c r="G97" i="3"/>
  <c r="G96" i="3"/>
  <c r="G95" i="3"/>
  <c r="AI13" i="4" l="1"/>
  <c r="AF13" i="4"/>
  <c r="AC13" i="4"/>
  <c r="Z13" i="4"/>
  <c r="W13" i="4"/>
  <c r="T13" i="4"/>
  <c r="Q13" i="4"/>
  <c r="N13" i="4"/>
  <c r="K13" i="4"/>
  <c r="H13" i="4"/>
  <c r="E13" i="4"/>
  <c r="B13" i="4"/>
  <c r="G56" i="3"/>
  <c r="E132" i="3" l="1"/>
  <c r="G132" i="3" s="1"/>
  <c r="E131" i="3"/>
  <c r="G131" i="3" s="1"/>
  <c r="E130" i="3"/>
  <c r="G130" i="3" s="1"/>
  <c r="E129" i="3"/>
  <c r="G129" i="3" s="1"/>
  <c r="E128" i="3"/>
  <c r="G128" i="3" s="1"/>
  <c r="E127" i="3"/>
  <c r="G127" i="3" s="1"/>
  <c r="E126" i="3"/>
  <c r="G126" i="3" s="1"/>
  <c r="E125" i="3"/>
  <c r="G125" i="3" s="1"/>
  <c r="E124" i="3"/>
  <c r="G124" i="3" s="1"/>
  <c r="E123" i="3"/>
  <c r="G123" i="3" s="1"/>
  <c r="E122" i="3"/>
  <c r="G122" i="3" s="1"/>
  <c r="E121" i="3"/>
  <c r="G121" i="3" s="1"/>
  <c r="E120" i="3"/>
  <c r="G120" i="3" s="1"/>
  <c r="E119" i="3"/>
  <c r="G119" i="3" s="1"/>
  <c r="E118" i="3"/>
  <c r="G118" i="3" s="1"/>
  <c r="E117" i="3"/>
  <c r="G117" i="3" s="1"/>
  <c r="E116" i="3"/>
  <c r="G116" i="3" s="1"/>
  <c r="E115" i="3"/>
  <c r="G115" i="3" s="1"/>
  <c r="E114" i="3"/>
  <c r="G114" i="3" s="1"/>
  <c r="E113" i="3"/>
  <c r="G113" i="3" s="1"/>
  <c r="E112" i="3"/>
  <c r="G112" i="3" s="1"/>
  <c r="E111" i="3"/>
  <c r="G111" i="3" s="1"/>
  <c r="E110" i="3"/>
  <c r="G110" i="3" s="1"/>
  <c r="E109" i="3"/>
  <c r="G109" i="3" s="1"/>
  <c r="E94" i="3"/>
  <c r="G94" i="3" s="1"/>
  <c r="E93" i="3"/>
  <c r="G93" i="3" s="1"/>
  <c r="E92" i="3"/>
  <c r="G92" i="3" s="1"/>
  <c r="E91" i="3"/>
  <c r="G91" i="3" s="1"/>
  <c r="E90" i="3"/>
  <c r="G90" i="3" s="1"/>
  <c r="E89" i="3"/>
  <c r="G89" i="3" s="1"/>
  <c r="E88" i="3"/>
  <c r="G88" i="3" s="1"/>
  <c r="E87" i="3"/>
  <c r="G87" i="3" s="1"/>
  <c r="E86" i="3"/>
  <c r="G86" i="3" s="1"/>
  <c r="E85" i="3"/>
  <c r="G85" i="3" s="1"/>
  <c r="E84" i="3"/>
  <c r="G84" i="3" s="1"/>
  <c r="E83" i="3"/>
  <c r="G83" i="3" s="1"/>
  <c r="B148" i="15" l="1"/>
  <c r="D143" i="15"/>
  <c r="D142" i="15"/>
  <c r="D141" i="15"/>
  <c r="D140" i="15"/>
  <c r="D139" i="15"/>
  <c r="D138" i="15"/>
  <c r="D137" i="15"/>
  <c r="D136" i="15"/>
  <c r="D135" i="15"/>
  <c r="D134" i="15"/>
  <c r="D133" i="15"/>
  <c r="D132" i="15"/>
  <c r="D131" i="15"/>
  <c r="D130" i="15"/>
  <c r="B123" i="15"/>
  <c r="D118" i="15"/>
  <c r="D117" i="15"/>
  <c r="D116" i="15"/>
  <c r="D115" i="15"/>
  <c r="D114" i="15"/>
  <c r="D113" i="15"/>
  <c r="D112" i="15"/>
  <c r="D111" i="15"/>
  <c r="D110" i="15"/>
  <c r="D109" i="15"/>
  <c r="D108" i="15"/>
  <c r="D107" i="15"/>
  <c r="D106" i="15"/>
  <c r="D105" i="15"/>
  <c r="B98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B73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B71" i="15" s="1"/>
  <c r="B75" i="15" s="1"/>
  <c r="B48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B23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B46" i="15" l="1"/>
  <c r="B50" i="15" s="1"/>
  <c r="B146" i="15"/>
  <c r="B150" i="15" s="1"/>
  <c r="B21" i="15"/>
  <c r="B25" i="15" s="1"/>
  <c r="B96" i="15"/>
  <c r="B100" i="15" s="1"/>
  <c r="B121" i="15"/>
  <c r="B125" i="15" s="1"/>
  <c r="M6" i="10"/>
  <c r="K6" i="10"/>
  <c r="H6" i="10"/>
  <c r="F6" i="10"/>
  <c r="D6" i="10"/>
  <c r="E8" i="5"/>
  <c r="F8" i="5"/>
  <c r="G8" i="5"/>
  <c r="H8" i="5"/>
  <c r="I8" i="5"/>
  <c r="J8" i="5"/>
  <c r="K8" i="5"/>
  <c r="L8" i="5"/>
  <c r="M8" i="5"/>
  <c r="N8" i="5"/>
  <c r="O8" i="5"/>
  <c r="D8" i="5"/>
  <c r="D8" i="14" l="1"/>
  <c r="J35" i="3"/>
  <c r="J34" i="3"/>
  <c r="AK86" i="4"/>
  <c r="G73" i="4"/>
  <c r="G26" i="4"/>
  <c r="G50" i="4"/>
  <c r="E6" i="10"/>
  <c r="G6" i="10"/>
  <c r="I6" i="10"/>
  <c r="J6" i="10"/>
  <c r="L6" i="10"/>
  <c r="N6" i="10"/>
  <c r="O17" i="10"/>
  <c r="J36" i="3" l="1"/>
  <c r="C6" i="10"/>
  <c r="O24" i="10"/>
  <c r="O25" i="10"/>
  <c r="O26" i="10"/>
  <c r="O27" i="10"/>
  <c r="O28" i="10"/>
  <c r="O29" i="10"/>
  <c r="O30" i="10"/>
  <c r="O31" i="10"/>
  <c r="O23" i="10"/>
  <c r="E28" i="5"/>
  <c r="F28" i="5"/>
  <c r="G28" i="5"/>
  <c r="H28" i="5"/>
  <c r="I28" i="5"/>
  <c r="J28" i="5"/>
  <c r="K28" i="5"/>
  <c r="L28" i="5"/>
  <c r="M28" i="5"/>
  <c r="N28" i="5"/>
  <c r="O28" i="5"/>
  <c r="E29" i="5"/>
  <c r="F29" i="5"/>
  <c r="G29" i="5"/>
  <c r="H29" i="5"/>
  <c r="I29" i="5"/>
  <c r="J29" i="5"/>
  <c r="K29" i="5"/>
  <c r="L29" i="5"/>
  <c r="M29" i="5"/>
  <c r="N29" i="5"/>
  <c r="O29" i="5"/>
  <c r="E30" i="5"/>
  <c r="F30" i="5"/>
  <c r="G30" i="5"/>
  <c r="H30" i="5"/>
  <c r="I30" i="5"/>
  <c r="J30" i="5"/>
  <c r="K30" i="5"/>
  <c r="L30" i="5"/>
  <c r="M30" i="5"/>
  <c r="N30" i="5"/>
  <c r="O30" i="5"/>
  <c r="E31" i="5"/>
  <c r="F31" i="5"/>
  <c r="G31" i="5"/>
  <c r="H31" i="5"/>
  <c r="I31" i="5"/>
  <c r="J31" i="5"/>
  <c r="K31" i="5"/>
  <c r="L31" i="5"/>
  <c r="M31" i="5"/>
  <c r="N31" i="5"/>
  <c r="O31" i="5"/>
  <c r="E32" i="5"/>
  <c r="F32" i="5"/>
  <c r="G32" i="5"/>
  <c r="H32" i="5"/>
  <c r="I32" i="5"/>
  <c r="J32" i="5"/>
  <c r="K32" i="5"/>
  <c r="L32" i="5"/>
  <c r="M32" i="5"/>
  <c r="N32" i="5"/>
  <c r="O32" i="5"/>
  <c r="E33" i="5"/>
  <c r="F33" i="5"/>
  <c r="G33" i="5"/>
  <c r="H33" i="5"/>
  <c r="I33" i="5"/>
  <c r="J33" i="5"/>
  <c r="K33" i="5"/>
  <c r="L33" i="5"/>
  <c r="M33" i="5"/>
  <c r="N33" i="5"/>
  <c r="O33" i="5"/>
  <c r="E34" i="5"/>
  <c r="F34" i="5"/>
  <c r="G34" i="5"/>
  <c r="H34" i="5"/>
  <c r="I34" i="5"/>
  <c r="J34" i="5"/>
  <c r="K34" i="5"/>
  <c r="L34" i="5"/>
  <c r="M34" i="5"/>
  <c r="N34" i="5"/>
  <c r="O34" i="5"/>
  <c r="E35" i="5"/>
  <c r="F35" i="5"/>
  <c r="G35" i="5"/>
  <c r="H35" i="5"/>
  <c r="I35" i="5"/>
  <c r="J35" i="5"/>
  <c r="K35" i="5"/>
  <c r="L35" i="5"/>
  <c r="M35" i="5"/>
  <c r="N35" i="5"/>
  <c r="O35" i="5"/>
  <c r="O12" i="10"/>
  <c r="O13" i="10"/>
  <c r="O14" i="10"/>
  <c r="O15" i="10"/>
  <c r="O16" i="10"/>
  <c r="O18" i="10"/>
  <c r="O19" i="10"/>
  <c r="O20" i="10"/>
  <c r="O21" i="10"/>
  <c r="O11" i="10"/>
  <c r="E7" i="5"/>
  <c r="F7" i="5"/>
  <c r="G7" i="5"/>
  <c r="H7" i="5"/>
  <c r="H24" i="5" s="1"/>
  <c r="G34" i="8" s="1"/>
  <c r="I7" i="5"/>
  <c r="J7" i="5"/>
  <c r="K7" i="5"/>
  <c r="L7" i="5"/>
  <c r="L24" i="5" s="1"/>
  <c r="M34" i="8" s="1"/>
  <c r="M7" i="5"/>
  <c r="N7" i="5"/>
  <c r="O7" i="5"/>
  <c r="O24" i="5" s="1"/>
  <c r="P34" i="8" s="1"/>
  <c r="E9" i="5"/>
  <c r="F9" i="5"/>
  <c r="G9" i="5"/>
  <c r="H9" i="5"/>
  <c r="I9" i="5"/>
  <c r="J9" i="5"/>
  <c r="K9" i="5"/>
  <c r="L9" i="5"/>
  <c r="M9" i="5"/>
  <c r="N9" i="5"/>
  <c r="O9" i="5"/>
  <c r="E10" i="5"/>
  <c r="F10" i="5"/>
  <c r="G10" i="5"/>
  <c r="H10" i="5"/>
  <c r="I10" i="5"/>
  <c r="J10" i="5"/>
  <c r="K10" i="5"/>
  <c r="L10" i="5"/>
  <c r="M10" i="5"/>
  <c r="N10" i="5"/>
  <c r="O10" i="5"/>
  <c r="E11" i="5"/>
  <c r="E21" i="5" s="1"/>
  <c r="D31" i="8" s="1"/>
  <c r="F11" i="5"/>
  <c r="F21" i="5" s="1"/>
  <c r="E31" i="8" s="1"/>
  <c r="G11" i="5"/>
  <c r="G21" i="5" s="1"/>
  <c r="F31" i="8" s="1"/>
  <c r="H11" i="5"/>
  <c r="H21" i="5" s="1"/>
  <c r="G31" i="8" s="1"/>
  <c r="I11" i="5"/>
  <c r="I21" i="5" s="1"/>
  <c r="H31" i="8" s="1"/>
  <c r="J11" i="5"/>
  <c r="J21" i="5" s="1"/>
  <c r="K31" i="8" s="1"/>
  <c r="K11" i="5"/>
  <c r="K21" i="5" s="1"/>
  <c r="L31" i="8" s="1"/>
  <c r="L11" i="5"/>
  <c r="L21" i="5" s="1"/>
  <c r="M31" i="8" s="1"/>
  <c r="M11" i="5"/>
  <c r="M21" i="5" s="1"/>
  <c r="N31" i="8" s="1"/>
  <c r="N11" i="5"/>
  <c r="O11" i="5"/>
  <c r="E12" i="5"/>
  <c r="F12" i="5"/>
  <c r="G12" i="5"/>
  <c r="H12" i="5"/>
  <c r="I12" i="5"/>
  <c r="J12" i="5"/>
  <c r="K12" i="5"/>
  <c r="L12" i="5"/>
  <c r="M12" i="5"/>
  <c r="N12" i="5"/>
  <c r="O12" i="5"/>
  <c r="E13" i="5"/>
  <c r="F13" i="5"/>
  <c r="G13" i="5"/>
  <c r="H13" i="5"/>
  <c r="I13" i="5"/>
  <c r="J13" i="5"/>
  <c r="K13" i="5"/>
  <c r="L13" i="5"/>
  <c r="M13" i="5"/>
  <c r="N13" i="5"/>
  <c r="O13" i="5"/>
  <c r="E14" i="5"/>
  <c r="F14" i="5"/>
  <c r="G14" i="5"/>
  <c r="H14" i="5"/>
  <c r="I14" i="5"/>
  <c r="J14" i="5"/>
  <c r="K14" i="5"/>
  <c r="L14" i="5"/>
  <c r="M14" i="5"/>
  <c r="N14" i="5"/>
  <c r="O14" i="5"/>
  <c r="E15" i="5"/>
  <c r="F15" i="5"/>
  <c r="G15" i="5"/>
  <c r="H15" i="5"/>
  <c r="I15" i="5"/>
  <c r="J15" i="5"/>
  <c r="K15" i="5"/>
  <c r="L15" i="5"/>
  <c r="M15" i="5"/>
  <c r="N15" i="5"/>
  <c r="O15" i="5"/>
  <c r="E16" i="5"/>
  <c r="F16" i="5"/>
  <c r="G16" i="5"/>
  <c r="H16" i="5"/>
  <c r="I16" i="5"/>
  <c r="J16" i="5"/>
  <c r="K16" i="5"/>
  <c r="L16" i="5"/>
  <c r="M16" i="5"/>
  <c r="N16" i="5"/>
  <c r="O16" i="5"/>
  <c r="E17" i="5"/>
  <c r="F17" i="5"/>
  <c r="G17" i="5"/>
  <c r="H17" i="5"/>
  <c r="I17" i="5"/>
  <c r="J17" i="5"/>
  <c r="K17" i="5"/>
  <c r="L17" i="5"/>
  <c r="M17" i="5"/>
  <c r="N17" i="5"/>
  <c r="O17" i="5"/>
  <c r="E24" i="5"/>
  <c r="D34" i="8" s="1"/>
  <c r="I24" i="5"/>
  <c r="H34" i="8" s="1"/>
  <c r="G7" i="4"/>
  <c r="J7" i="4"/>
  <c r="M7" i="4"/>
  <c r="P7" i="4"/>
  <c r="S7" i="4"/>
  <c r="V7" i="4"/>
  <c r="Y7" i="4"/>
  <c r="AB7" i="4"/>
  <c r="AE7" i="4"/>
  <c r="AH7" i="4"/>
  <c r="AK7" i="4"/>
  <c r="G8" i="4"/>
  <c r="F6" i="11" s="1"/>
  <c r="J8" i="4"/>
  <c r="G6" i="11" s="1"/>
  <c r="M8" i="4"/>
  <c r="P8" i="4"/>
  <c r="I6" i="11" s="1"/>
  <c r="S8" i="4"/>
  <c r="V8" i="4"/>
  <c r="Y8" i="4"/>
  <c r="L6" i="11" s="1"/>
  <c r="AB8" i="4"/>
  <c r="AE8" i="4"/>
  <c r="N6" i="11" s="1"/>
  <c r="AH8" i="4"/>
  <c r="AK8" i="4"/>
  <c r="P6" i="11" s="1"/>
  <c r="G9" i="4"/>
  <c r="J9" i="4"/>
  <c r="M9" i="4"/>
  <c r="P9" i="4"/>
  <c r="S9" i="4"/>
  <c r="V9" i="4"/>
  <c r="Y9" i="4"/>
  <c r="AB9" i="4"/>
  <c r="AE9" i="4"/>
  <c r="AH9" i="4"/>
  <c r="AK9" i="4"/>
  <c r="G10" i="4"/>
  <c r="J10" i="4"/>
  <c r="M10" i="4"/>
  <c r="P10" i="4"/>
  <c r="S10" i="4"/>
  <c r="V10" i="4"/>
  <c r="Y10" i="4"/>
  <c r="AB10" i="4"/>
  <c r="AE10" i="4"/>
  <c r="AH10" i="4"/>
  <c r="AK10" i="4"/>
  <c r="G11" i="4"/>
  <c r="J11" i="4"/>
  <c r="M11" i="4"/>
  <c r="P11" i="4"/>
  <c r="S11" i="4"/>
  <c r="V11" i="4"/>
  <c r="Y11" i="4"/>
  <c r="AB11" i="4"/>
  <c r="AE11" i="4"/>
  <c r="AH11" i="4"/>
  <c r="AK11" i="4"/>
  <c r="G12" i="4"/>
  <c r="J12" i="4"/>
  <c r="M12" i="4"/>
  <c r="P12" i="4"/>
  <c r="S12" i="4"/>
  <c r="V12" i="4"/>
  <c r="Y12" i="4"/>
  <c r="AB12" i="4"/>
  <c r="AE12" i="4"/>
  <c r="AH12" i="4"/>
  <c r="AK12" i="4"/>
  <c r="G16" i="4"/>
  <c r="J16" i="4"/>
  <c r="M16" i="4"/>
  <c r="P16" i="4"/>
  <c r="S16" i="4"/>
  <c r="V16" i="4"/>
  <c r="Y16" i="4"/>
  <c r="AB16" i="4"/>
  <c r="AE16" i="4"/>
  <c r="AH16" i="4"/>
  <c r="AK16" i="4"/>
  <c r="G17" i="4"/>
  <c r="J17" i="4"/>
  <c r="M17" i="4"/>
  <c r="P17" i="4"/>
  <c r="S17" i="4"/>
  <c r="V17" i="4"/>
  <c r="Y17" i="4"/>
  <c r="AB17" i="4"/>
  <c r="AE17" i="4"/>
  <c r="AH17" i="4"/>
  <c r="AK17" i="4"/>
  <c r="G18" i="4"/>
  <c r="J18" i="4"/>
  <c r="M18" i="4"/>
  <c r="P18" i="4"/>
  <c r="S18" i="4"/>
  <c r="V18" i="4"/>
  <c r="Y18" i="4"/>
  <c r="AB18" i="4"/>
  <c r="AE18" i="4"/>
  <c r="AH18" i="4"/>
  <c r="AK18" i="4"/>
  <c r="G19" i="4"/>
  <c r="J19" i="4"/>
  <c r="M19" i="4"/>
  <c r="P19" i="4"/>
  <c r="S19" i="4"/>
  <c r="V19" i="4"/>
  <c r="Y19" i="4"/>
  <c r="AB19" i="4"/>
  <c r="AE19" i="4"/>
  <c r="AH19" i="4"/>
  <c r="AK19" i="4"/>
  <c r="G20" i="4"/>
  <c r="J20" i="4"/>
  <c r="M20" i="4"/>
  <c r="P20" i="4"/>
  <c r="S20" i="4"/>
  <c r="V20" i="4"/>
  <c r="Y20" i="4"/>
  <c r="AB20" i="4"/>
  <c r="AE20" i="4"/>
  <c r="AH20" i="4"/>
  <c r="AK20" i="4"/>
  <c r="G21" i="4"/>
  <c r="J21" i="4"/>
  <c r="M21" i="4"/>
  <c r="P21" i="4"/>
  <c r="S21" i="4"/>
  <c r="V21" i="4"/>
  <c r="Y21" i="4"/>
  <c r="AB21" i="4"/>
  <c r="AE21" i="4"/>
  <c r="AH21" i="4"/>
  <c r="AK21" i="4"/>
  <c r="G22" i="4"/>
  <c r="J22" i="4"/>
  <c r="M22" i="4"/>
  <c r="P22" i="4"/>
  <c r="S22" i="4"/>
  <c r="V22" i="4"/>
  <c r="Y22" i="4"/>
  <c r="AB22" i="4"/>
  <c r="AE22" i="4"/>
  <c r="AH22" i="4"/>
  <c r="AK22" i="4"/>
  <c r="G23" i="4"/>
  <c r="J23" i="4"/>
  <c r="M23" i="4"/>
  <c r="P23" i="4"/>
  <c r="S23" i="4"/>
  <c r="V23" i="4"/>
  <c r="Y23" i="4"/>
  <c r="AB23" i="4"/>
  <c r="AE23" i="4"/>
  <c r="AH23" i="4"/>
  <c r="AK23" i="4"/>
  <c r="G24" i="4"/>
  <c r="J24" i="4"/>
  <c r="M24" i="4"/>
  <c r="P24" i="4"/>
  <c r="S24" i="4"/>
  <c r="V24" i="4"/>
  <c r="Y24" i="4"/>
  <c r="AB24" i="4"/>
  <c r="AE24" i="4"/>
  <c r="AH24" i="4"/>
  <c r="AK24" i="4"/>
  <c r="G25" i="4"/>
  <c r="J25" i="4"/>
  <c r="M25" i="4"/>
  <c r="P25" i="4"/>
  <c r="S25" i="4"/>
  <c r="V25" i="4"/>
  <c r="Y25" i="4"/>
  <c r="AB25" i="4"/>
  <c r="AE25" i="4"/>
  <c r="AH25" i="4"/>
  <c r="AK25" i="4"/>
  <c r="J26" i="4"/>
  <c r="M26" i="4"/>
  <c r="P26" i="4"/>
  <c r="S26" i="4"/>
  <c r="V26" i="4"/>
  <c r="Y26" i="4"/>
  <c r="AB26" i="4"/>
  <c r="AE26" i="4"/>
  <c r="AH26" i="4"/>
  <c r="AK26" i="4"/>
  <c r="G29" i="4"/>
  <c r="J29" i="4"/>
  <c r="M29" i="4"/>
  <c r="P29" i="4"/>
  <c r="S29" i="4"/>
  <c r="V29" i="4"/>
  <c r="Y29" i="4"/>
  <c r="AB29" i="4"/>
  <c r="AE29" i="4"/>
  <c r="AH29" i="4"/>
  <c r="AK29" i="4"/>
  <c r="G30" i="4"/>
  <c r="J30" i="4"/>
  <c r="M30" i="4"/>
  <c r="P30" i="4"/>
  <c r="S30" i="4"/>
  <c r="V30" i="4"/>
  <c r="Y30" i="4"/>
  <c r="AB30" i="4"/>
  <c r="AE30" i="4"/>
  <c r="AH30" i="4"/>
  <c r="AK30" i="4"/>
  <c r="G31" i="4"/>
  <c r="J31" i="4"/>
  <c r="M31" i="4"/>
  <c r="P31" i="4"/>
  <c r="S31" i="4"/>
  <c r="V31" i="4"/>
  <c r="Y31" i="4"/>
  <c r="AB31" i="4"/>
  <c r="AE31" i="4"/>
  <c r="AH31" i="4"/>
  <c r="AK31" i="4"/>
  <c r="G32" i="4"/>
  <c r="J32" i="4"/>
  <c r="M32" i="4"/>
  <c r="P32" i="4"/>
  <c r="S32" i="4"/>
  <c r="V32" i="4"/>
  <c r="Y32" i="4"/>
  <c r="AB32" i="4"/>
  <c r="AE32" i="4"/>
  <c r="AH32" i="4"/>
  <c r="AK32" i="4"/>
  <c r="G33" i="4"/>
  <c r="J33" i="4"/>
  <c r="M33" i="4"/>
  <c r="P33" i="4"/>
  <c r="S33" i="4"/>
  <c r="V33" i="4"/>
  <c r="Y33" i="4"/>
  <c r="AB33" i="4"/>
  <c r="AE33" i="4"/>
  <c r="AH33" i="4"/>
  <c r="AK33" i="4"/>
  <c r="G34" i="4"/>
  <c r="J34" i="4"/>
  <c r="M34" i="4"/>
  <c r="P34" i="4"/>
  <c r="S34" i="4"/>
  <c r="V34" i="4"/>
  <c r="Y34" i="4"/>
  <c r="AB34" i="4"/>
  <c r="AE34" i="4"/>
  <c r="AH34" i="4"/>
  <c r="AK34" i="4"/>
  <c r="G35" i="4"/>
  <c r="J35" i="4"/>
  <c r="M35" i="4"/>
  <c r="P35" i="4"/>
  <c r="S35" i="4"/>
  <c r="V35" i="4"/>
  <c r="Y35" i="4"/>
  <c r="AB35" i="4"/>
  <c r="AE35" i="4"/>
  <c r="AH35" i="4"/>
  <c r="AK35" i="4"/>
  <c r="G36" i="4"/>
  <c r="J36" i="4"/>
  <c r="M36" i="4"/>
  <c r="P36" i="4"/>
  <c r="S36" i="4"/>
  <c r="V36" i="4"/>
  <c r="Y36" i="4"/>
  <c r="AB36" i="4"/>
  <c r="AE36" i="4"/>
  <c r="AH36" i="4"/>
  <c r="AK36" i="4"/>
  <c r="G37" i="4"/>
  <c r="J37" i="4"/>
  <c r="M37" i="4"/>
  <c r="P37" i="4"/>
  <c r="S37" i="4"/>
  <c r="V37" i="4"/>
  <c r="Y37" i="4"/>
  <c r="AB37" i="4"/>
  <c r="AE37" i="4"/>
  <c r="AH37" i="4"/>
  <c r="AK37" i="4"/>
  <c r="G38" i="4"/>
  <c r="J38" i="4"/>
  <c r="M38" i="4"/>
  <c r="P38" i="4"/>
  <c r="S38" i="4"/>
  <c r="V38" i="4"/>
  <c r="Y38" i="4"/>
  <c r="AB38" i="4"/>
  <c r="AE38" i="4"/>
  <c r="AH38" i="4"/>
  <c r="AK38" i="4"/>
  <c r="G39" i="4"/>
  <c r="J39" i="4"/>
  <c r="M39" i="4"/>
  <c r="P39" i="4"/>
  <c r="S39" i="4"/>
  <c r="V39" i="4"/>
  <c r="Y39" i="4"/>
  <c r="AB39" i="4"/>
  <c r="AE39" i="4"/>
  <c r="AH39" i="4"/>
  <c r="AK39" i="4"/>
  <c r="G42" i="4"/>
  <c r="J42" i="4"/>
  <c r="M42" i="4"/>
  <c r="P42" i="4"/>
  <c r="S42" i="4"/>
  <c r="V42" i="4"/>
  <c r="Y42" i="4"/>
  <c r="AB42" i="4"/>
  <c r="AE42" i="4"/>
  <c r="AH42" i="4"/>
  <c r="AK42" i="4"/>
  <c r="G43" i="4"/>
  <c r="J43" i="4"/>
  <c r="M43" i="4"/>
  <c r="P43" i="4"/>
  <c r="S43" i="4"/>
  <c r="V43" i="4"/>
  <c r="Y43" i="4"/>
  <c r="AB43" i="4"/>
  <c r="AE43" i="4"/>
  <c r="AH43" i="4"/>
  <c r="AK43" i="4"/>
  <c r="G44" i="4"/>
  <c r="J44" i="4"/>
  <c r="M44" i="4"/>
  <c r="P44" i="4"/>
  <c r="S44" i="4"/>
  <c r="V44" i="4"/>
  <c r="Y44" i="4"/>
  <c r="AB44" i="4"/>
  <c r="AE44" i="4"/>
  <c r="AH44" i="4"/>
  <c r="AK44" i="4"/>
  <c r="G45" i="4"/>
  <c r="J45" i="4"/>
  <c r="M45" i="4"/>
  <c r="P45" i="4"/>
  <c r="S45" i="4"/>
  <c r="V45" i="4"/>
  <c r="Y45" i="4"/>
  <c r="AB45" i="4"/>
  <c r="AE45" i="4"/>
  <c r="AH45" i="4"/>
  <c r="AK45" i="4"/>
  <c r="G46" i="4"/>
  <c r="J46" i="4"/>
  <c r="M46" i="4"/>
  <c r="P46" i="4"/>
  <c r="S46" i="4"/>
  <c r="V46" i="4"/>
  <c r="Y46" i="4"/>
  <c r="AB46" i="4"/>
  <c r="AE46" i="4"/>
  <c r="AH46" i="4"/>
  <c r="AK46" i="4"/>
  <c r="G47" i="4"/>
  <c r="J47" i="4"/>
  <c r="M47" i="4"/>
  <c r="P47" i="4"/>
  <c r="S47" i="4"/>
  <c r="V47" i="4"/>
  <c r="Y47" i="4"/>
  <c r="AB47" i="4"/>
  <c r="AE47" i="4"/>
  <c r="AH47" i="4"/>
  <c r="AK47" i="4"/>
  <c r="G48" i="4"/>
  <c r="J48" i="4"/>
  <c r="M48" i="4"/>
  <c r="P48" i="4"/>
  <c r="S48" i="4"/>
  <c r="V48" i="4"/>
  <c r="Y48" i="4"/>
  <c r="AB48" i="4"/>
  <c r="AE48" i="4"/>
  <c r="AH48" i="4"/>
  <c r="AK48" i="4"/>
  <c r="G49" i="4"/>
  <c r="J49" i="4"/>
  <c r="M49" i="4"/>
  <c r="P49" i="4"/>
  <c r="S49" i="4"/>
  <c r="V49" i="4"/>
  <c r="Y49" i="4"/>
  <c r="AB49" i="4"/>
  <c r="AE49" i="4"/>
  <c r="AH49" i="4"/>
  <c r="AK49" i="4"/>
  <c r="J50" i="4"/>
  <c r="M50" i="4"/>
  <c r="P50" i="4"/>
  <c r="S50" i="4"/>
  <c r="V50" i="4"/>
  <c r="Y50" i="4"/>
  <c r="AB50" i="4"/>
  <c r="AE50" i="4"/>
  <c r="AH50" i="4"/>
  <c r="AK50" i="4"/>
  <c r="G51" i="4"/>
  <c r="J51" i="4"/>
  <c r="M51" i="4"/>
  <c r="P51" i="4"/>
  <c r="S51" i="4"/>
  <c r="V51" i="4"/>
  <c r="Y51" i="4"/>
  <c r="AB51" i="4"/>
  <c r="AE51" i="4"/>
  <c r="AH51" i="4"/>
  <c r="AK51" i="4"/>
  <c r="G54" i="4"/>
  <c r="J54" i="4"/>
  <c r="M54" i="4"/>
  <c r="P54" i="4"/>
  <c r="S54" i="4"/>
  <c r="V54" i="4"/>
  <c r="Y54" i="4"/>
  <c r="AB54" i="4"/>
  <c r="AE54" i="4"/>
  <c r="AH54" i="4"/>
  <c r="AK54" i="4"/>
  <c r="G55" i="4"/>
  <c r="J55" i="4"/>
  <c r="M55" i="4"/>
  <c r="P55" i="4"/>
  <c r="S55" i="4"/>
  <c r="V55" i="4"/>
  <c r="Y55" i="4"/>
  <c r="AB55" i="4"/>
  <c r="AE55" i="4"/>
  <c r="AH55" i="4"/>
  <c r="AK55" i="4"/>
  <c r="G56" i="4"/>
  <c r="J56" i="4"/>
  <c r="M56" i="4"/>
  <c r="P56" i="4"/>
  <c r="S56" i="4"/>
  <c r="V56" i="4"/>
  <c r="Y56" i="4"/>
  <c r="AB56" i="4"/>
  <c r="AE56" i="4"/>
  <c r="AH56" i="4"/>
  <c r="AK56" i="4"/>
  <c r="G57" i="4"/>
  <c r="J57" i="4"/>
  <c r="M57" i="4"/>
  <c r="P57" i="4"/>
  <c r="S57" i="4"/>
  <c r="V57" i="4"/>
  <c r="Y57" i="4"/>
  <c r="AB57" i="4"/>
  <c r="AE57" i="4"/>
  <c r="AH57" i="4"/>
  <c r="AK57" i="4"/>
  <c r="G58" i="4"/>
  <c r="J58" i="4"/>
  <c r="M58" i="4"/>
  <c r="P58" i="4"/>
  <c r="S58" i="4"/>
  <c r="V58" i="4"/>
  <c r="Y58" i="4"/>
  <c r="AB58" i="4"/>
  <c r="AE58" i="4"/>
  <c r="AH58" i="4"/>
  <c r="AK58" i="4"/>
  <c r="G59" i="4"/>
  <c r="J59" i="4"/>
  <c r="M59" i="4"/>
  <c r="P59" i="4"/>
  <c r="S59" i="4"/>
  <c r="V59" i="4"/>
  <c r="Y59" i="4"/>
  <c r="AB59" i="4"/>
  <c r="AE59" i="4"/>
  <c r="AH59" i="4"/>
  <c r="AK59" i="4"/>
  <c r="G62" i="4"/>
  <c r="J62" i="4"/>
  <c r="M62" i="4"/>
  <c r="P62" i="4"/>
  <c r="S62" i="4"/>
  <c r="V62" i="4"/>
  <c r="Y62" i="4"/>
  <c r="AB62" i="4"/>
  <c r="AE62" i="4"/>
  <c r="AH62" i="4"/>
  <c r="AK62" i="4"/>
  <c r="G63" i="4"/>
  <c r="J63" i="4"/>
  <c r="M63" i="4"/>
  <c r="P63" i="4"/>
  <c r="S63" i="4"/>
  <c r="V63" i="4"/>
  <c r="Y63" i="4"/>
  <c r="AB63" i="4"/>
  <c r="AE63" i="4"/>
  <c r="AH63" i="4"/>
  <c r="AK63" i="4"/>
  <c r="G64" i="4"/>
  <c r="J64" i="4"/>
  <c r="M64" i="4"/>
  <c r="P64" i="4"/>
  <c r="S64" i="4"/>
  <c r="V64" i="4"/>
  <c r="Y64" i="4"/>
  <c r="AB64" i="4"/>
  <c r="AE64" i="4"/>
  <c r="AH64" i="4"/>
  <c r="AK64" i="4"/>
  <c r="G65" i="4"/>
  <c r="J65" i="4"/>
  <c r="M65" i="4"/>
  <c r="P65" i="4"/>
  <c r="S65" i="4"/>
  <c r="V65" i="4"/>
  <c r="Y65" i="4"/>
  <c r="AB65" i="4"/>
  <c r="AE65" i="4"/>
  <c r="AH65" i="4"/>
  <c r="AK65" i="4"/>
  <c r="G66" i="4"/>
  <c r="J66" i="4"/>
  <c r="M66" i="4"/>
  <c r="P66" i="4"/>
  <c r="S66" i="4"/>
  <c r="V66" i="4"/>
  <c r="Y66" i="4"/>
  <c r="AB66" i="4"/>
  <c r="AE66" i="4"/>
  <c r="AH66" i="4"/>
  <c r="AK66" i="4"/>
  <c r="G67" i="4"/>
  <c r="J67" i="4"/>
  <c r="M67" i="4"/>
  <c r="P67" i="4"/>
  <c r="S67" i="4"/>
  <c r="V67" i="4"/>
  <c r="Y67" i="4"/>
  <c r="AB67" i="4"/>
  <c r="AE67" i="4"/>
  <c r="AH67" i="4"/>
  <c r="AK67" i="4"/>
  <c r="G68" i="4"/>
  <c r="J68" i="4"/>
  <c r="M68" i="4"/>
  <c r="P68" i="4"/>
  <c r="S68" i="4"/>
  <c r="V68" i="4"/>
  <c r="Y68" i="4"/>
  <c r="AB68" i="4"/>
  <c r="AE68" i="4"/>
  <c r="AH68" i="4"/>
  <c r="AK68" i="4"/>
  <c r="G69" i="4"/>
  <c r="J69" i="4"/>
  <c r="M69" i="4"/>
  <c r="P69" i="4"/>
  <c r="S69" i="4"/>
  <c r="V69" i="4"/>
  <c r="Y69" i="4"/>
  <c r="AB69" i="4"/>
  <c r="AE69" i="4"/>
  <c r="AH69" i="4"/>
  <c r="AK69" i="4"/>
  <c r="G70" i="4"/>
  <c r="J70" i="4"/>
  <c r="M70" i="4"/>
  <c r="P70" i="4"/>
  <c r="S70" i="4"/>
  <c r="V70" i="4"/>
  <c r="Y70" i="4"/>
  <c r="AB70" i="4"/>
  <c r="AE70" i="4"/>
  <c r="AH70" i="4"/>
  <c r="AK70" i="4"/>
  <c r="G71" i="4"/>
  <c r="J71" i="4"/>
  <c r="M71" i="4"/>
  <c r="P71" i="4"/>
  <c r="S71" i="4"/>
  <c r="V71" i="4"/>
  <c r="Y71" i="4"/>
  <c r="AB71" i="4"/>
  <c r="AE71" i="4"/>
  <c r="AH71" i="4"/>
  <c r="AK71" i="4"/>
  <c r="G72" i="4"/>
  <c r="J72" i="4"/>
  <c r="M72" i="4"/>
  <c r="P72" i="4"/>
  <c r="S72" i="4"/>
  <c r="V72" i="4"/>
  <c r="Y72" i="4"/>
  <c r="AB72" i="4"/>
  <c r="AE72" i="4"/>
  <c r="AH72" i="4"/>
  <c r="AK72" i="4"/>
  <c r="J73" i="4"/>
  <c r="M73" i="4"/>
  <c r="P73" i="4"/>
  <c r="S73" i="4"/>
  <c r="V73" i="4"/>
  <c r="Y73" i="4"/>
  <c r="AB73" i="4"/>
  <c r="AE73" i="4"/>
  <c r="AH73" i="4"/>
  <c r="AK73" i="4"/>
  <c r="G76" i="4"/>
  <c r="J76" i="4"/>
  <c r="M76" i="4"/>
  <c r="P76" i="4"/>
  <c r="S76" i="4"/>
  <c r="V76" i="4"/>
  <c r="Y76" i="4"/>
  <c r="AB76" i="4"/>
  <c r="AE76" i="4"/>
  <c r="AH76" i="4"/>
  <c r="AK76" i="4"/>
  <c r="G77" i="4"/>
  <c r="J77" i="4"/>
  <c r="M77" i="4"/>
  <c r="P77" i="4"/>
  <c r="S77" i="4"/>
  <c r="V77" i="4"/>
  <c r="Y77" i="4"/>
  <c r="AB77" i="4"/>
  <c r="AE77" i="4"/>
  <c r="AH77" i="4"/>
  <c r="AK77" i="4"/>
  <c r="G78" i="4"/>
  <c r="J78" i="4"/>
  <c r="M78" i="4"/>
  <c r="P78" i="4"/>
  <c r="S78" i="4"/>
  <c r="V78" i="4"/>
  <c r="Y78" i="4"/>
  <c r="AB78" i="4"/>
  <c r="AE78" i="4"/>
  <c r="AH78" i="4"/>
  <c r="AK78" i="4"/>
  <c r="G79" i="4"/>
  <c r="J79" i="4"/>
  <c r="M79" i="4"/>
  <c r="P79" i="4"/>
  <c r="S79" i="4"/>
  <c r="V79" i="4"/>
  <c r="Y79" i="4"/>
  <c r="AB79" i="4"/>
  <c r="AE79" i="4"/>
  <c r="AH79" i="4"/>
  <c r="AK79" i="4"/>
  <c r="G82" i="4"/>
  <c r="J82" i="4"/>
  <c r="M82" i="4"/>
  <c r="P82" i="4"/>
  <c r="S82" i="4"/>
  <c r="V82" i="4"/>
  <c r="Y82" i="4"/>
  <c r="AB82" i="4"/>
  <c r="AE82" i="4"/>
  <c r="AH82" i="4"/>
  <c r="AK82" i="4"/>
  <c r="G83" i="4"/>
  <c r="J83" i="4"/>
  <c r="M83" i="4"/>
  <c r="P83" i="4"/>
  <c r="S83" i="4"/>
  <c r="V83" i="4"/>
  <c r="Y83" i="4"/>
  <c r="AB83" i="4"/>
  <c r="AE83" i="4"/>
  <c r="AH83" i="4"/>
  <c r="AK83" i="4"/>
  <c r="G84" i="4"/>
  <c r="J84" i="4"/>
  <c r="M84" i="4"/>
  <c r="P84" i="4"/>
  <c r="S84" i="4"/>
  <c r="V84" i="4"/>
  <c r="Y84" i="4"/>
  <c r="AB84" i="4"/>
  <c r="AE84" i="4"/>
  <c r="AH84" i="4"/>
  <c r="AK84" i="4"/>
  <c r="G85" i="4"/>
  <c r="J85" i="4"/>
  <c r="M85" i="4"/>
  <c r="P85" i="4"/>
  <c r="S85" i="4"/>
  <c r="V85" i="4"/>
  <c r="Y85" i="4"/>
  <c r="AB85" i="4"/>
  <c r="AE85" i="4"/>
  <c r="AH85" i="4"/>
  <c r="AK85" i="4"/>
  <c r="G86" i="4"/>
  <c r="J86" i="4"/>
  <c r="M86" i="4"/>
  <c r="P86" i="4"/>
  <c r="S86" i="4"/>
  <c r="V86" i="4"/>
  <c r="Y86" i="4"/>
  <c r="AB86" i="4"/>
  <c r="AE86" i="4"/>
  <c r="AH86" i="4"/>
  <c r="G89" i="4"/>
  <c r="J89" i="4"/>
  <c r="M89" i="4"/>
  <c r="P89" i="4"/>
  <c r="S89" i="4"/>
  <c r="V89" i="4"/>
  <c r="Y89" i="4"/>
  <c r="AB89" i="4"/>
  <c r="AE89" i="4"/>
  <c r="AH89" i="4"/>
  <c r="AK89" i="4"/>
  <c r="G90" i="4"/>
  <c r="J90" i="4"/>
  <c r="M90" i="4"/>
  <c r="P90" i="4"/>
  <c r="S90" i="4"/>
  <c r="V90" i="4"/>
  <c r="Y90" i="4"/>
  <c r="AB90" i="4"/>
  <c r="AE90" i="4"/>
  <c r="AH90" i="4"/>
  <c r="AK90" i="4"/>
  <c r="G91" i="4"/>
  <c r="J91" i="4"/>
  <c r="M91" i="4"/>
  <c r="P91" i="4"/>
  <c r="S91" i="4"/>
  <c r="V91" i="4"/>
  <c r="Y91" i="4"/>
  <c r="AB91" i="4"/>
  <c r="AE91" i="4"/>
  <c r="AH91" i="4"/>
  <c r="AK91" i="4"/>
  <c r="G94" i="4"/>
  <c r="J94" i="4"/>
  <c r="M94" i="4"/>
  <c r="P94" i="4"/>
  <c r="S94" i="4"/>
  <c r="V94" i="4"/>
  <c r="Y94" i="4"/>
  <c r="AB94" i="4"/>
  <c r="AE94" i="4"/>
  <c r="AH94" i="4"/>
  <c r="AK94" i="4"/>
  <c r="D43" i="4"/>
  <c r="D44" i="4"/>
  <c r="D45" i="4"/>
  <c r="D46" i="4"/>
  <c r="D47" i="4"/>
  <c r="D48" i="4"/>
  <c r="D49" i="4"/>
  <c r="D50" i="4"/>
  <c r="D30" i="4"/>
  <c r="D9" i="4"/>
  <c r="D28" i="5"/>
  <c r="D29" i="5"/>
  <c r="D30" i="5"/>
  <c r="D31" i="5"/>
  <c r="D32" i="5"/>
  <c r="D33" i="5"/>
  <c r="D34" i="5"/>
  <c r="D35" i="5"/>
  <c r="D37" i="4"/>
  <c r="D38" i="4"/>
  <c r="D31" i="14" l="1"/>
  <c r="L20" i="5"/>
  <c r="M30" i="8" s="1"/>
  <c r="L18" i="5"/>
  <c r="M28" i="8" s="1"/>
  <c r="O18" i="5"/>
  <c r="P28" i="8" s="1"/>
  <c r="O21" i="5"/>
  <c r="P31" i="8" s="1"/>
  <c r="L19" i="5"/>
  <c r="M29" i="8" s="1"/>
  <c r="O23" i="5"/>
  <c r="P33" i="8" s="1"/>
  <c r="P27" i="8"/>
  <c r="K23" i="5"/>
  <c r="L33" i="8" s="1"/>
  <c r="L27" i="8"/>
  <c r="P17" i="11"/>
  <c r="P16" i="8" s="1"/>
  <c r="P11" i="8"/>
  <c r="L11" i="8"/>
  <c r="L17" i="11"/>
  <c r="L16" i="8" s="1"/>
  <c r="N19" i="5"/>
  <c r="O29" i="8" s="1"/>
  <c r="N21" i="5"/>
  <c r="O31" i="8" s="1"/>
  <c r="N23" i="5"/>
  <c r="O33" i="8" s="1"/>
  <c r="O27" i="8"/>
  <c r="N11" i="8"/>
  <c r="N17" i="11"/>
  <c r="N16" i="8" s="1"/>
  <c r="M22" i="5"/>
  <c r="N32" i="8" s="1"/>
  <c r="M23" i="5"/>
  <c r="N33" i="8" s="1"/>
  <c r="N27" i="8"/>
  <c r="L23" i="5"/>
  <c r="M33" i="8" s="1"/>
  <c r="M27" i="8"/>
  <c r="L22" i="5"/>
  <c r="M32" i="8" s="1"/>
  <c r="H27" i="8"/>
  <c r="I23" i="5"/>
  <c r="H33" i="8" s="1"/>
  <c r="I22" i="5"/>
  <c r="H32" i="8" s="1"/>
  <c r="J23" i="5"/>
  <c r="K33" i="8" s="1"/>
  <c r="K27" i="8"/>
  <c r="G27" i="8"/>
  <c r="H23" i="5"/>
  <c r="G33" i="8" s="1"/>
  <c r="H22" i="5"/>
  <c r="G32" i="8" s="1"/>
  <c r="I17" i="11"/>
  <c r="G16" i="8" s="1"/>
  <c r="G11" i="8"/>
  <c r="G23" i="5"/>
  <c r="F33" i="8" s="1"/>
  <c r="F27" i="8"/>
  <c r="E23" i="5"/>
  <c r="D33" i="8" s="1"/>
  <c r="D27" i="8"/>
  <c r="E22" i="5"/>
  <c r="D32" i="8" s="1"/>
  <c r="F23" i="5"/>
  <c r="E33" i="8" s="1"/>
  <c r="E27" i="8"/>
  <c r="F22" i="5"/>
  <c r="E32" i="8" s="1"/>
  <c r="G17" i="11"/>
  <c r="E16" i="8" s="1"/>
  <c r="E11" i="8"/>
  <c r="G13" i="4"/>
  <c r="F17" i="11"/>
  <c r="D16" i="8" s="1"/>
  <c r="D11" i="8"/>
  <c r="AK95" i="4"/>
  <c r="P8" i="11" s="1"/>
  <c r="AE13" i="4"/>
  <c r="F96" i="4"/>
  <c r="G96" i="4" s="1"/>
  <c r="F33" i="11" s="1"/>
  <c r="AD96" i="4"/>
  <c r="AE96" i="4" s="1"/>
  <c r="N18" i="11" s="1"/>
  <c r="R96" i="4"/>
  <c r="S96" i="4" s="1"/>
  <c r="O96" i="4"/>
  <c r="AA96" i="4"/>
  <c r="AB96" i="4" s="1"/>
  <c r="M33" i="11" s="1"/>
  <c r="C96" i="4"/>
  <c r="L96" i="4"/>
  <c r="AJ96" i="4"/>
  <c r="AK96" i="4" s="1"/>
  <c r="P18" i="11" s="1"/>
  <c r="X96" i="4"/>
  <c r="Y96" i="4" s="1"/>
  <c r="L18" i="11" s="1"/>
  <c r="I96" i="4"/>
  <c r="J96" i="4" s="1"/>
  <c r="G18" i="11" s="1"/>
  <c r="AG96" i="4"/>
  <c r="AH96" i="4" s="1"/>
  <c r="O33" i="11" s="1"/>
  <c r="U96" i="4"/>
  <c r="V96" i="4" s="1"/>
  <c r="N18" i="5"/>
  <c r="O28" i="8" s="1"/>
  <c r="F18" i="5"/>
  <c r="E28" i="8" s="1"/>
  <c r="M19" i="5"/>
  <c r="N29" i="8" s="1"/>
  <c r="I19" i="5"/>
  <c r="H29" i="8" s="1"/>
  <c r="E19" i="5"/>
  <c r="D29" i="8" s="1"/>
  <c r="N22" i="5"/>
  <c r="O32" i="8" s="1"/>
  <c r="AK13" i="4"/>
  <c r="AK40" i="4"/>
  <c r="AH40" i="4"/>
  <c r="AE40" i="4"/>
  <c r="AB40" i="4"/>
  <c r="Y40" i="4"/>
  <c r="V40" i="4"/>
  <c r="S40" i="4"/>
  <c r="P40" i="4"/>
  <c r="M40" i="4"/>
  <c r="J40" i="4"/>
  <c r="G40" i="4"/>
  <c r="M24" i="5"/>
  <c r="N34" i="8" s="1"/>
  <c r="M13" i="4"/>
  <c r="O22" i="5"/>
  <c r="P32" i="8" s="1"/>
  <c r="P96" i="4"/>
  <c r="I18" i="11" s="1"/>
  <c r="AK87" i="4"/>
  <c r="H19" i="5"/>
  <c r="G29" i="8" s="1"/>
  <c r="M96" i="4"/>
  <c r="AB92" i="4"/>
  <c r="AH80" i="4"/>
  <c r="V80" i="4"/>
  <c r="AH13" i="4"/>
  <c r="V13" i="4"/>
  <c r="S13" i="4"/>
  <c r="AB13" i="4"/>
  <c r="P13" i="4"/>
  <c r="M18" i="5"/>
  <c r="N28" i="8" s="1"/>
  <c r="F19" i="5"/>
  <c r="E29" i="8" s="1"/>
  <c r="K18" i="5"/>
  <c r="L28" i="8" s="1"/>
  <c r="K22" i="5"/>
  <c r="L32" i="8" s="1"/>
  <c r="Y95" i="4"/>
  <c r="Y13" i="4"/>
  <c r="J19" i="5"/>
  <c r="K29" i="8" s="1"/>
  <c r="J22" i="5"/>
  <c r="K32" i="8" s="1"/>
  <c r="J18" i="5"/>
  <c r="K28" i="8" s="1"/>
  <c r="D35" i="14"/>
  <c r="I18" i="5"/>
  <c r="H28" i="8" s="1"/>
  <c r="H18" i="5"/>
  <c r="G28" i="8" s="1"/>
  <c r="P92" i="4"/>
  <c r="G18" i="5"/>
  <c r="F28" i="8" s="1"/>
  <c r="G22" i="5"/>
  <c r="F32" i="8" s="1"/>
  <c r="G24" i="5"/>
  <c r="F34" i="8" s="1"/>
  <c r="M95" i="4"/>
  <c r="J80" i="4"/>
  <c r="J13" i="4"/>
  <c r="G74" i="4"/>
  <c r="G52" i="4"/>
  <c r="F19" i="11" s="1"/>
  <c r="D17" i="8" s="1"/>
  <c r="J87" i="4"/>
  <c r="S74" i="4"/>
  <c r="AK60" i="4"/>
  <c r="P52" i="4"/>
  <c r="I19" i="11" s="1"/>
  <c r="G17" i="8" s="1"/>
  <c r="P27" i="4"/>
  <c r="D30" i="14"/>
  <c r="V95" i="4"/>
  <c r="D33" i="14"/>
  <c r="D29" i="14"/>
  <c r="AE95" i="4"/>
  <c r="S95" i="4"/>
  <c r="G95" i="4"/>
  <c r="AH92" i="4"/>
  <c r="V92" i="4"/>
  <c r="J92" i="4"/>
  <c r="AB87" i="4"/>
  <c r="P87" i="4"/>
  <c r="AB80" i="4"/>
  <c r="P80" i="4"/>
  <c r="AK74" i="4"/>
  <c r="Y74" i="4"/>
  <c r="M74" i="4"/>
  <c r="AE60" i="4"/>
  <c r="S60" i="4"/>
  <c r="G60" i="4"/>
  <c r="AH52" i="4"/>
  <c r="V52" i="4"/>
  <c r="J52" i="4"/>
  <c r="G19" i="11" s="1"/>
  <c r="E17" i="8" s="1"/>
  <c r="AH27" i="4"/>
  <c r="V27" i="4"/>
  <c r="J27" i="4"/>
  <c r="K24" i="5"/>
  <c r="L34" i="8" s="1"/>
  <c r="O19" i="5"/>
  <c r="P29" i="8" s="1"/>
  <c r="K19" i="5"/>
  <c r="L29" i="8" s="1"/>
  <c r="G19" i="5"/>
  <c r="F29" i="8" s="1"/>
  <c r="N20" i="5"/>
  <c r="O30" i="8" s="1"/>
  <c r="J20" i="5"/>
  <c r="K30" i="8" s="1"/>
  <c r="F20" i="5"/>
  <c r="E30" i="8" s="1"/>
  <c r="AH87" i="4"/>
  <c r="M60" i="4"/>
  <c r="AB27" i="4"/>
  <c r="D32" i="14"/>
  <c r="D28" i="14"/>
  <c r="AB95" i="4"/>
  <c r="P95" i="4"/>
  <c r="AE92" i="4"/>
  <c r="S92" i="4"/>
  <c r="G92" i="4"/>
  <c r="Y87" i="4"/>
  <c r="M87" i="4"/>
  <c r="AK80" i="4"/>
  <c r="Y80" i="4"/>
  <c r="M80" i="4"/>
  <c r="AH74" i="4"/>
  <c r="V74" i="4"/>
  <c r="J74" i="4"/>
  <c r="AB60" i="4"/>
  <c r="P60" i="4"/>
  <c r="AE52" i="4"/>
  <c r="N19" i="11" s="1"/>
  <c r="N17" i="8" s="1"/>
  <c r="S52" i="4"/>
  <c r="AE27" i="4"/>
  <c r="S27" i="4"/>
  <c r="G27" i="4"/>
  <c r="V87" i="4"/>
  <c r="AE74" i="4"/>
  <c r="Y60" i="4"/>
  <c r="AB52" i="4"/>
  <c r="D34" i="14"/>
  <c r="AH95" i="4"/>
  <c r="J95" i="4"/>
  <c r="AK92" i="4"/>
  <c r="Y92" i="4"/>
  <c r="M92" i="4"/>
  <c r="AE87" i="4"/>
  <c r="S87" i="4"/>
  <c r="G87" i="4"/>
  <c r="AE80" i="4"/>
  <c r="S80" i="4"/>
  <c r="G80" i="4"/>
  <c r="AB74" i="4"/>
  <c r="P74" i="4"/>
  <c r="AH60" i="4"/>
  <c r="V60" i="4"/>
  <c r="J60" i="4"/>
  <c r="AK52" i="4"/>
  <c r="P19" i="11" s="1"/>
  <c r="P17" i="8" s="1"/>
  <c r="Y52" i="4"/>
  <c r="L19" i="11" s="1"/>
  <c r="L17" i="8" s="1"/>
  <c r="M52" i="4"/>
  <c r="AK27" i="4"/>
  <c r="Y27" i="4"/>
  <c r="M27" i="4"/>
  <c r="H20" i="5"/>
  <c r="G30" i="8" s="1"/>
  <c r="N24" i="5"/>
  <c r="O34" i="8" s="1"/>
  <c r="J24" i="5"/>
  <c r="K34" i="8" s="1"/>
  <c r="F24" i="5"/>
  <c r="E34" i="8" s="1"/>
  <c r="I7" i="11"/>
  <c r="G7" i="11"/>
  <c r="P7" i="11"/>
  <c r="N7" i="11"/>
  <c r="L7" i="11"/>
  <c r="F7" i="11"/>
  <c r="O6" i="11"/>
  <c r="M6" i="11"/>
  <c r="K6" i="11"/>
  <c r="H6" i="11"/>
  <c r="J6" i="11"/>
  <c r="E18" i="5"/>
  <c r="D28" i="8" s="1"/>
  <c r="O20" i="5"/>
  <c r="P30" i="8" s="1"/>
  <c r="M20" i="5"/>
  <c r="N30" i="8" s="1"/>
  <c r="K20" i="5"/>
  <c r="L30" i="8" s="1"/>
  <c r="I20" i="5"/>
  <c r="H30" i="8" s="1"/>
  <c r="G20" i="5"/>
  <c r="F30" i="8" s="1"/>
  <c r="E20" i="5"/>
  <c r="D30" i="8" s="1"/>
  <c r="D9" i="5"/>
  <c r="D9" i="14" s="1"/>
  <c r="J7" i="1"/>
  <c r="J6" i="1"/>
  <c r="J5" i="1"/>
  <c r="B74" i="3"/>
  <c r="B76" i="3" s="1"/>
  <c r="J8" i="3" s="1"/>
  <c r="H63" i="3"/>
  <c r="G61" i="3"/>
  <c r="F61" i="3"/>
  <c r="E61" i="3"/>
  <c r="D61" i="3"/>
  <c r="C61" i="3"/>
  <c r="B61" i="3"/>
  <c r="F57" i="3"/>
  <c r="E57" i="3"/>
  <c r="D57" i="3"/>
  <c r="C57" i="3"/>
  <c r="B57" i="3"/>
  <c r="I56" i="3"/>
  <c r="J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P33" i="11" l="1"/>
  <c r="F18" i="11"/>
  <c r="P20" i="11"/>
  <c r="P18" i="8" s="1"/>
  <c r="P12" i="8"/>
  <c r="O18" i="11"/>
  <c r="O19" i="11"/>
  <c r="O17" i="8" s="1"/>
  <c r="O17" i="11"/>
  <c r="O16" i="8" s="1"/>
  <c r="O11" i="8"/>
  <c r="K11" i="8"/>
  <c r="K19" i="11"/>
  <c r="K17" i="8" s="1"/>
  <c r="K18" i="11"/>
  <c r="K17" i="11"/>
  <c r="K16" i="8" s="1"/>
  <c r="M17" i="11"/>
  <c r="M16" i="8" s="1"/>
  <c r="M11" i="8"/>
  <c r="M19" i="11"/>
  <c r="M17" i="8" s="1"/>
  <c r="M18" i="11"/>
  <c r="J17" i="11"/>
  <c r="H16" i="8" s="1"/>
  <c r="H11" i="8"/>
  <c r="J19" i="11"/>
  <c r="H17" i="8" s="1"/>
  <c r="J18" i="11"/>
  <c r="H19" i="11"/>
  <c r="F17" i="8" s="1"/>
  <c r="F11" i="8"/>
  <c r="H17" i="11"/>
  <c r="F16" i="8" s="1"/>
  <c r="H18" i="11"/>
  <c r="K56" i="3"/>
  <c r="K55" i="3"/>
  <c r="K49" i="3"/>
  <c r="K51" i="3"/>
  <c r="K53" i="3"/>
  <c r="K48" i="3"/>
  <c r="K52" i="3"/>
  <c r="K50" i="3"/>
  <c r="K54" i="3"/>
  <c r="G33" i="11"/>
  <c r="H33" i="11"/>
  <c r="I33" i="11"/>
  <c r="N33" i="11"/>
  <c r="L33" i="11"/>
  <c r="K33" i="11"/>
  <c r="J33" i="11"/>
  <c r="P11" i="11"/>
  <c r="L8" i="11"/>
  <c r="L12" i="8" s="1"/>
  <c r="H8" i="11"/>
  <c r="B62" i="3"/>
  <c r="O8" i="11"/>
  <c r="I8" i="11"/>
  <c r="G8" i="11"/>
  <c r="M8" i="11"/>
  <c r="M12" i="8" s="1"/>
  <c r="F8" i="11"/>
  <c r="D12" i="8" s="1"/>
  <c r="K8" i="11"/>
  <c r="J8" i="11"/>
  <c r="N8" i="11"/>
  <c r="N12" i="8" s="1"/>
  <c r="H7" i="11"/>
  <c r="K7" i="11"/>
  <c r="M7" i="11"/>
  <c r="O7" i="11"/>
  <c r="J7" i="11"/>
  <c r="B70" i="3"/>
  <c r="B72" i="3" s="1"/>
  <c r="J9" i="3" s="1"/>
  <c r="G57" i="3"/>
  <c r="G62" i="3" s="1"/>
  <c r="J57" i="3"/>
  <c r="I57" i="3"/>
  <c r="D96" i="4"/>
  <c r="D94" i="4"/>
  <c r="D90" i="4"/>
  <c r="D91" i="4"/>
  <c r="D89" i="4"/>
  <c r="D83" i="4"/>
  <c r="D84" i="4"/>
  <c r="D85" i="4"/>
  <c r="D86" i="4"/>
  <c r="D82" i="4"/>
  <c r="D77" i="4"/>
  <c r="D78" i="4"/>
  <c r="D79" i="4"/>
  <c r="D76" i="4"/>
  <c r="D63" i="4"/>
  <c r="D64" i="4"/>
  <c r="D65" i="4"/>
  <c r="D66" i="4"/>
  <c r="D67" i="4"/>
  <c r="D68" i="4"/>
  <c r="D69" i="4"/>
  <c r="D70" i="4"/>
  <c r="D71" i="4"/>
  <c r="D72" i="4"/>
  <c r="D73" i="4"/>
  <c r="D62" i="4"/>
  <c r="D55" i="4"/>
  <c r="D56" i="4"/>
  <c r="D57" i="4"/>
  <c r="D58" i="4"/>
  <c r="D59" i="4"/>
  <c r="D54" i="4"/>
  <c r="D51" i="4"/>
  <c r="D42" i="4"/>
  <c r="D31" i="4"/>
  <c r="D32" i="4"/>
  <c r="D33" i="4"/>
  <c r="D34" i="4"/>
  <c r="D35" i="4"/>
  <c r="D36" i="4"/>
  <c r="D39" i="4"/>
  <c r="D29" i="4"/>
  <c r="D17" i="4"/>
  <c r="D18" i="4"/>
  <c r="D19" i="4"/>
  <c r="D20" i="4"/>
  <c r="D21" i="4"/>
  <c r="D22" i="4"/>
  <c r="D23" i="4"/>
  <c r="D24" i="4"/>
  <c r="D25" i="4"/>
  <c r="D26" i="4"/>
  <c r="D16" i="4"/>
  <c r="D8" i="4"/>
  <c r="D10" i="4"/>
  <c r="D11" i="4"/>
  <c r="D12" i="4"/>
  <c r="D7" i="4"/>
  <c r="D24" i="3"/>
  <c r="B24" i="3"/>
  <c r="P22" i="11" l="1"/>
  <c r="P24" i="11"/>
  <c r="P21" i="8" s="1"/>
  <c r="P23" i="11"/>
  <c r="P20" i="8" s="1"/>
  <c r="P25" i="11"/>
  <c r="P21" i="11"/>
  <c r="P19" i="8" s="1"/>
  <c r="P14" i="11"/>
  <c r="P14" i="8"/>
  <c r="O20" i="11"/>
  <c r="O18" i="8" s="1"/>
  <c r="O12" i="8"/>
  <c r="K20" i="11"/>
  <c r="K18" i="8" s="1"/>
  <c r="K12" i="8"/>
  <c r="J20" i="11"/>
  <c r="H18" i="8" s="1"/>
  <c r="H12" i="8"/>
  <c r="I20" i="11"/>
  <c r="G18" i="8" s="1"/>
  <c r="G12" i="8"/>
  <c r="H20" i="11"/>
  <c r="H25" i="11" s="1"/>
  <c r="F12" i="8"/>
  <c r="G20" i="11"/>
  <c r="E18" i="8" s="1"/>
  <c r="E12" i="8"/>
  <c r="D40" i="4"/>
  <c r="K57" i="3"/>
  <c r="L20" i="11"/>
  <c r="L18" i="8" s="1"/>
  <c r="L11" i="11"/>
  <c r="H11" i="11"/>
  <c r="D52" i="4"/>
  <c r="D27" i="4"/>
  <c r="D92" i="4"/>
  <c r="J11" i="11"/>
  <c r="F20" i="11"/>
  <c r="D18" i="8" s="1"/>
  <c r="F11" i="11"/>
  <c r="G11" i="11"/>
  <c r="I11" i="11"/>
  <c r="D60" i="4"/>
  <c r="N20" i="11"/>
  <c r="N18" i="8" s="1"/>
  <c r="N11" i="11"/>
  <c r="O11" i="11"/>
  <c r="K11" i="11"/>
  <c r="M11" i="11"/>
  <c r="M20" i="11"/>
  <c r="M18" i="8" s="1"/>
  <c r="D74" i="4"/>
  <c r="D80" i="4"/>
  <c r="D87" i="4"/>
  <c r="D95" i="4"/>
  <c r="D9" i="13" s="1"/>
  <c r="B66" i="3"/>
  <c r="B64" i="3"/>
  <c r="J20" i="3" s="1"/>
  <c r="O23" i="11" l="1"/>
  <c r="O20" i="8" s="1"/>
  <c r="J23" i="11"/>
  <c r="H20" i="8" s="1"/>
  <c r="O22" i="11"/>
  <c r="O25" i="11"/>
  <c r="O21" i="11"/>
  <c r="O19" i="8" s="1"/>
  <c r="O24" i="11"/>
  <c r="O21" i="8" s="1"/>
  <c r="J24" i="11"/>
  <c r="H21" i="8" s="1"/>
  <c r="L14" i="11"/>
  <c r="L14" i="8"/>
  <c r="O14" i="11"/>
  <c r="O14" i="8"/>
  <c r="K23" i="11"/>
  <c r="K20" i="8" s="1"/>
  <c r="K24" i="11"/>
  <c r="K21" i="8" s="1"/>
  <c r="K25" i="11"/>
  <c r="K21" i="11"/>
  <c r="K19" i="8" s="1"/>
  <c r="K22" i="11"/>
  <c r="N14" i="11"/>
  <c r="N14" i="8"/>
  <c r="K14" i="11"/>
  <c r="K14" i="8"/>
  <c r="M14" i="11"/>
  <c r="M14" i="8"/>
  <c r="J21" i="11"/>
  <c r="H19" i="8" s="1"/>
  <c r="J22" i="11"/>
  <c r="J25" i="11"/>
  <c r="J14" i="11"/>
  <c r="H14" i="8"/>
  <c r="I14" i="11"/>
  <c r="G14" i="8"/>
  <c r="H22" i="11"/>
  <c r="H21" i="11"/>
  <c r="F19" i="8" s="1"/>
  <c r="H24" i="11"/>
  <c r="F21" i="8" s="1"/>
  <c r="H23" i="11"/>
  <c r="F20" i="8" s="1"/>
  <c r="F18" i="8"/>
  <c r="H14" i="11"/>
  <c r="F14" i="8"/>
  <c r="G14" i="11"/>
  <c r="E14" i="8"/>
  <c r="F14" i="11"/>
  <c r="D14" i="8"/>
  <c r="L25" i="11"/>
  <c r="L24" i="11"/>
  <c r="L21" i="8" s="1"/>
  <c r="L22" i="11"/>
  <c r="L23" i="11"/>
  <c r="L20" i="8" s="1"/>
  <c r="L21" i="11"/>
  <c r="L19" i="8" s="1"/>
  <c r="M25" i="11"/>
  <c r="M21" i="11"/>
  <c r="M19" i="8" s="1"/>
  <c r="M24" i="11"/>
  <c r="M21" i="8" s="1"/>
  <c r="M23" i="11"/>
  <c r="M20" i="8" s="1"/>
  <c r="N25" i="11"/>
  <c r="N22" i="11"/>
  <c r="N23" i="11"/>
  <c r="N20" i="8" s="1"/>
  <c r="N24" i="11"/>
  <c r="N21" i="8" s="1"/>
  <c r="N21" i="11"/>
  <c r="N19" i="8" s="1"/>
  <c r="G23" i="11"/>
  <c r="E20" i="8" s="1"/>
  <c r="G24" i="11"/>
  <c r="E21" i="8" s="1"/>
  <c r="G21" i="11"/>
  <c r="E19" i="8" s="1"/>
  <c r="G22" i="11"/>
  <c r="G25" i="11"/>
  <c r="I24" i="11"/>
  <c r="G21" i="8" s="1"/>
  <c r="I21" i="11"/>
  <c r="G19" i="8" s="1"/>
  <c r="I23" i="11"/>
  <c r="G20" i="8" s="1"/>
  <c r="I22" i="11"/>
  <c r="I25" i="11"/>
  <c r="F25" i="11"/>
  <c r="F23" i="11"/>
  <c r="D20" i="8" s="1"/>
  <c r="F21" i="11"/>
  <c r="D19" i="8" s="1"/>
  <c r="F22" i="11"/>
  <c r="F24" i="11"/>
  <c r="D21" i="8" s="1"/>
  <c r="M22" i="11"/>
  <c r="E8" i="11"/>
  <c r="E11" i="11" s="1"/>
  <c r="D17" i="5"/>
  <c r="D17" i="14" s="1"/>
  <c r="D16" i="5"/>
  <c r="D16" i="14" s="1"/>
  <c r="D15" i="5"/>
  <c r="D15" i="14" s="1"/>
  <c r="D14" i="5"/>
  <c r="D14" i="14" s="1"/>
  <c r="D13" i="5"/>
  <c r="D13" i="14" s="1"/>
  <c r="D12" i="5"/>
  <c r="D12" i="14" s="1"/>
  <c r="D11" i="5"/>
  <c r="D10" i="5"/>
  <c r="D10" i="14" s="1"/>
  <c r="D7" i="5"/>
  <c r="E33" i="11"/>
  <c r="E6" i="11"/>
  <c r="D40" i="13" l="1"/>
  <c r="D7" i="14"/>
  <c r="D15" i="13" s="1"/>
  <c r="C27" i="8"/>
  <c r="D12" i="13"/>
  <c r="C12" i="8"/>
  <c r="C11" i="8"/>
  <c r="E19" i="11"/>
  <c r="C17" i="8" s="1"/>
  <c r="E17" i="11"/>
  <c r="C16" i="8" s="1"/>
  <c r="E18" i="11"/>
  <c r="E20" i="11"/>
  <c r="C18" i="8" s="1"/>
  <c r="D21" i="5"/>
  <c r="C31" i="8" s="1"/>
  <c r="D11" i="14"/>
  <c r="C14" i="8"/>
  <c r="D7" i="13"/>
  <c r="D6" i="13" s="1"/>
  <c r="D22" i="13" s="1"/>
  <c r="D20" i="5"/>
  <c r="C30" i="8" s="1"/>
  <c r="D18" i="5"/>
  <c r="C28" i="8" s="1"/>
  <c r="D24" i="5"/>
  <c r="C34" i="8" s="1"/>
  <c r="D23" i="5"/>
  <c r="C33" i="8" s="1"/>
  <c r="D22" i="5"/>
  <c r="C32" i="8" s="1"/>
  <c r="E7" i="11"/>
  <c r="D19" i="5"/>
  <c r="C29" i="8" s="1"/>
  <c r="C18" i="12"/>
  <c r="D13" i="12"/>
  <c r="D12" i="12"/>
  <c r="D11" i="12"/>
  <c r="D10" i="12"/>
  <c r="D9" i="12"/>
  <c r="D8" i="12"/>
  <c r="O7" i="10"/>
  <c r="O6" i="10"/>
  <c r="D13" i="4"/>
  <c r="E101" i="3"/>
  <c r="E100" i="3"/>
  <c r="E99" i="3"/>
  <c r="E98" i="3"/>
  <c r="E97" i="3"/>
  <c r="E96" i="3"/>
  <c r="E95" i="3"/>
  <c r="C41" i="3"/>
  <c r="D41" i="3" s="1"/>
  <c r="F41" i="3" s="1"/>
  <c r="A41" i="3"/>
  <c r="C40" i="3"/>
  <c r="D40" i="3" s="1"/>
  <c r="F40" i="3" s="1"/>
  <c r="A40" i="3"/>
  <c r="C39" i="3"/>
  <c r="D39" i="3" s="1"/>
  <c r="F39" i="3" s="1"/>
  <c r="A39" i="3"/>
  <c r="C38" i="3"/>
  <c r="D38" i="3" s="1"/>
  <c r="F38" i="3" s="1"/>
  <c r="A38" i="3"/>
  <c r="C37" i="3"/>
  <c r="D37" i="3" s="1"/>
  <c r="F37" i="3" s="1"/>
  <c r="A37" i="3"/>
  <c r="C36" i="3"/>
  <c r="D36" i="3" s="1"/>
  <c r="F36" i="3" s="1"/>
  <c r="A36" i="3"/>
  <c r="C35" i="3"/>
  <c r="D35" i="3" s="1"/>
  <c r="F35" i="3" s="1"/>
  <c r="A35" i="3"/>
  <c r="C34" i="3"/>
  <c r="D34" i="3" s="1"/>
  <c r="F34" i="3" s="1"/>
  <c r="A34" i="3"/>
  <c r="C33" i="3"/>
  <c r="D33" i="3" s="1"/>
  <c r="F33" i="3" s="1"/>
  <c r="A33" i="3"/>
  <c r="C32" i="3"/>
  <c r="D32" i="3" s="1"/>
  <c r="F32" i="3" s="1"/>
  <c r="A32" i="3"/>
  <c r="C31" i="3"/>
  <c r="D31" i="3" s="1"/>
  <c r="F31" i="3" s="1"/>
  <c r="A31" i="3"/>
  <c r="C30" i="3"/>
  <c r="D30" i="3" s="1"/>
  <c r="A30" i="3"/>
  <c r="E22" i="3"/>
  <c r="D22" i="3"/>
  <c r="C22" i="3"/>
  <c r="B22" i="3"/>
  <c r="D24" i="14" l="1"/>
  <c r="D23" i="14"/>
  <c r="E14" i="11"/>
  <c r="D22" i="14"/>
  <c r="D18" i="14"/>
  <c r="D21" i="13"/>
  <c r="D23" i="13"/>
  <c r="E22" i="11"/>
  <c r="E24" i="11"/>
  <c r="C21" i="8" s="1"/>
  <c r="E21" i="11"/>
  <c r="C19" i="8" s="1"/>
  <c r="E23" i="11"/>
  <c r="C20" i="8" s="1"/>
  <c r="E25" i="11"/>
  <c r="D21" i="14"/>
  <c r="D19" i="14"/>
  <c r="D20" i="14"/>
  <c r="D8" i="13"/>
  <c r="D18" i="13" s="1"/>
  <c r="D37" i="13"/>
  <c r="D24" i="13"/>
  <c r="D7" i="12"/>
  <c r="B25" i="3"/>
  <c r="J18" i="3" s="1"/>
  <c r="D14" i="12"/>
  <c r="H4" i="12" s="1"/>
  <c r="H5" i="12" s="1"/>
  <c r="H7" i="12" s="1"/>
  <c r="H10" i="12" s="1"/>
  <c r="D23" i="3"/>
  <c r="B23" i="3"/>
  <c r="E102" i="3"/>
  <c r="J21" i="3" s="1"/>
  <c r="C42" i="3"/>
  <c r="E133" i="3"/>
  <c r="J22" i="3" s="1"/>
  <c r="F30" i="3"/>
  <c r="F42" i="3" s="1"/>
  <c r="D42" i="3"/>
  <c r="G133" i="3"/>
  <c r="J11" i="3" s="1"/>
  <c r="G102" i="3"/>
  <c r="J10" i="3" s="1"/>
  <c r="D28" i="13" l="1"/>
  <c r="D26" i="13"/>
  <c r="D25" i="13"/>
  <c r="D29" i="13"/>
  <c r="D27" i="13"/>
  <c r="H13" i="12"/>
  <c r="H15" i="12" s="1"/>
  <c r="H11" i="12"/>
  <c r="H14" i="12" s="1"/>
  <c r="J7" i="3"/>
  <c r="J19" i="3"/>
  <c r="D38" i="13" s="1"/>
  <c r="J25" i="3" l="1"/>
  <c r="J13" i="3"/>
  <c r="D10" i="13" s="1"/>
  <c r="D16" i="13" l="1"/>
  <c r="D11" i="13"/>
  <c r="J15" i="3"/>
  <c r="E9" i="11" s="1"/>
  <c r="D39" i="13"/>
  <c r="G37" i="11"/>
  <c r="K37" i="11"/>
  <c r="O37" i="11"/>
  <c r="L37" i="11"/>
  <c r="P37" i="11"/>
  <c r="I37" i="11"/>
  <c r="M37" i="11"/>
  <c r="F37" i="11"/>
  <c r="D47" i="13"/>
  <c r="H37" i="11"/>
  <c r="J37" i="11"/>
  <c r="N37" i="11"/>
  <c r="E37" i="11"/>
  <c r="J27" i="3"/>
  <c r="E12" i="11" l="1"/>
  <c r="E35" i="11"/>
  <c r="P9" i="11"/>
  <c r="P13" i="8" s="1"/>
  <c r="L9" i="11"/>
  <c r="L13" i="8" s="1"/>
  <c r="H9" i="11"/>
  <c r="F13" i="8" s="1"/>
  <c r="N9" i="11"/>
  <c r="N13" i="8" s="1"/>
  <c r="K9" i="11"/>
  <c r="J9" i="11"/>
  <c r="H13" i="8" s="1"/>
  <c r="F9" i="11"/>
  <c r="D13" i="8" s="1"/>
  <c r="I9" i="11"/>
  <c r="G13" i="8" s="1"/>
  <c r="M9" i="11"/>
  <c r="M13" i="8" s="1"/>
  <c r="G9" i="11"/>
  <c r="E13" i="8" s="1"/>
  <c r="O9" i="11"/>
  <c r="O13" i="8" s="1"/>
  <c r="K13" i="8" l="1"/>
  <c r="K12" i="11"/>
  <c r="E26" i="11"/>
  <c r="C22" i="8" s="1"/>
  <c r="C13" i="8"/>
  <c r="I10" i="11"/>
  <c r="I12" i="11"/>
  <c r="I26" i="11"/>
  <c r="G22" i="8" s="1"/>
  <c r="I35" i="11"/>
  <c r="G23" i="8" s="1"/>
  <c r="G26" i="11"/>
  <c r="E22" i="8" s="1"/>
  <c r="G10" i="11"/>
  <c r="G12" i="11"/>
  <c r="G35" i="11"/>
  <c r="E23" i="8" s="1"/>
  <c r="J10" i="11"/>
  <c r="J26" i="11"/>
  <c r="H22" i="8" s="1"/>
  <c r="J12" i="11"/>
  <c r="J35" i="11"/>
  <c r="H23" i="8" s="1"/>
  <c r="L26" i="11"/>
  <c r="L22" i="8" s="1"/>
  <c r="L12" i="11"/>
  <c r="L10" i="11"/>
  <c r="L35" i="11"/>
  <c r="L23" i="8" s="1"/>
  <c r="M12" i="11"/>
  <c r="M10" i="11"/>
  <c r="M26" i="11"/>
  <c r="M22" i="8" s="1"/>
  <c r="M35" i="11"/>
  <c r="M23" i="8" s="1"/>
  <c r="K10" i="11"/>
  <c r="K13" i="11" s="1"/>
  <c r="K26" i="11"/>
  <c r="K22" i="8" s="1"/>
  <c r="K35" i="11"/>
  <c r="K23" i="8" s="1"/>
  <c r="P10" i="11"/>
  <c r="P12" i="11"/>
  <c r="P35" i="11"/>
  <c r="P23" i="8" s="1"/>
  <c r="P26" i="11"/>
  <c r="P22" i="8" s="1"/>
  <c r="C23" i="8"/>
  <c r="E10" i="11"/>
  <c r="E36" i="11" s="1"/>
  <c r="D13" i="13"/>
  <c r="N26" i="11"/>
  <c r="N22" i="8" s="1"/>
  <c r="N12" i="11"/>
  <c r="N10" i="11"/>
  <c r="N35" i="11"/>
  <c r="N23" i="8" s="1"/>
  <c r="D19" i="13"/>
  <c r="D30" i="13"/>
  <c r="D32" i="13" s="1"/>
  <c r="D45" i="13"/>
  <c r="O10" i="11"/>
  <c r="O12" i="11"/>
  <c r="O26" i="11"/>
  <c r="O22" i="8" s="1"/>
  <c r="O35" i="11"/>
  <c r="O23" i="8" s="1"/>
  <c r="F10" i="11"/>
  <c r="F26" i="11"/>
  <c r="D22" i="8" s="1"/>
  <c r="F12" i="11"/>
  <c r="F35" i="11"/>
  <c r="D23" i="8" s="1"/>
  <c r="H26" i="11"/>
  <c r="F22" i="8" s="1"/>
  <c r="H10" i="11"/>
  <c r="H12" i="11"/>
  <c r="H35" i="11"/>
  <c r="F23" i="8" s="1"/>
  <c r="D17" i="13"/>
  <c r="D20" i="13" s="1"/>
  <c r="D34" i="13"/>
  <c r="D46" i="13"/>
  <c r="N15" i="11" l="1"/>
  <c r="N15" i="8"/>
  <c r="O15" i="11"/>
  <c r="O15" i="8"/>
  <c r="M15" i="11"/>
  <c r="M15" i="8"/>
  <c r="H15" i="11"/>
  <c r="F15" i="8"/>
  <c r="P15" i="11"/>
  <c r="P15" i="8"/>
  <c r="L15" i="11"/>
  <c r="L15" i="8"/>
  <c r="I15" i="11"/>
  <c r="G15" i="8"/>
  <c r="E15" i="11"/>
  <c r="C15" i="8"/>
  <c r="K15" i="11"/>
  <c r="K15" i="8"/>
  <c r="F15" i="11"/>
  <c r="D15" i="8"/>
  <c r="J15" i="11"/>
  <c r="H15" i="8"/>
  <c r="G15" i="11"/>
  <c r="E15" i="8"/>
  <c r="H13" i="11"/>
  <c r="H16" i="11" s="1"/>
  <c r="H30" i="11"/>
  <c r="H36" i="11"/>
  <c r="N13" i="11"/>
  <c r="N16" i="11" s="1"/>
  <c r="N30" i="11"/>
  <c r="N36" i="11"/>
  <c r="E29" i="11"/>
  <c r="E27" i="11"/>
  <c r="E28" i="11"/>
  <c r="P28" i="11"/>
  <c r="P29" i="11"/>
  <c r="P27" i="11"/>
  <c r="O29" i="11"/>
  <c r="O27" i="11"/>
  <c r="O28" i="11"/>
  <c r="D41" i="13"/>
  <c r="D42" i="13"/>
  <c r="D44" i="13"/>
  <c r="D31" i="13"/>
  <c r="D33" i="13"/>
  <c r="M27" i="11"/>
  <c r="M29" i="11"/>
  <c r="M28" i="11"/>
  <c r="L13" i="11"/>
  <c r="L16" i="11" s="1"/>
  <c r="L30" i="11"/>
  <c r="L36" i="11"/>
  <c r="I27" i="11"/>
  <c r="I29" i="11"/>
  <c r="I28" i="11"/>
  <c r="D43" i="13"/>
  <c r="D35" i="13"/>
  <c r="D36" i="13"/>
  <c r="F29" i="11"/>
  <c r="F28" i="11"/>
  <c r="F27" i="11"/>
  <c r="N29" i="11"/>
  <c r="N27" i="11"/>
  <c r="N28" i="11"/>
  <c r="D14" i="13"/>
  <c r="E30" i="11"/>
  <c r="E13" i="11"/>
  <c r="E16" i="11" s="1"/>
  <c r="K27" i="11"/>
  <c r="K28" i="11"/>
  <c r="K29" i="11"/>
  <c r="M30" i="11"/>
  <c r="M36" i="11"/>
  <c r="M13" i="11"/>
  <c r="M16" i="11" s="1"/>
  <c r="J29" i="11"/>
  <c r="J27" i="11"/>
  <c r="J28" i="11"/>
  <c r="G30" i="11"/>
  <c r="G13" i="11"/>
  <c r="G16" i="11" s="1"/>
  <c r="G36" i="11"/>
  <c r="H27" i="11"/>
  <c r="H29" i="11"/>
  <c r="H28" i="11"/>
  <c r="F36" i="11"/>
  <c r="F30" i="11"/>
  <c r="F13" i="11"/>
  <c r="F16" i="11" s="1"/>
  <c r="O13" i="11"/>
  <c r="O16" i="11" s="1"/>
  <c r="O30" i="11"/>
  <c r="O36" i="11"/>
  <c r="P13" i="11"/>
  <c r="P16" i="11" s="1"/>
  <c r="P36" i="11"/>
  <c r="P30" i="11"/>
  <c r="K16" i="11"/>
  <c r="K36" i="11"/>
  <c r="K30" i="11"/>
  <c r="L29" i="11"/>
  <c r="L28" i="11"/>
  <c r="L27" i="11"/>
  <c r="J30" i="11"/>
  <c r="J13" i="11"/>
  <c r="J16" i="11" s="1"/>
  <c r="J36" i="11"/>
  <c r="G29" i="11"/>
  <c r="G28" i="11"/>
  <c r="G27" i="11"/>
  <c r="I30" i="11"/>
  <c r="I13" i="11"/>
  <c r="I16" i="11" s="1"/>
  <c r="I36" i="11"/>
  <c r="O31" i="11" l="1"/>
  <c r="O34" i="11"/>
  <c r="O32" i="11"/>
  <c r="M34" i="11"/>
  <c r="M31" i="11"/>
  <c r="M32" i="11"/>
  <c r="I31" i="11"/>
  <c r="I34" i="11"/>
  <c r="I32" i="11"/>
  <c r="F34" i="11"/>
  <c r="F32" i="11"/>
  <c r="F31" i="11"/>
  <c r="P32" i="11"/>
  <c r="P31" i="11"/>
  <c r="P34" i="11"/>
  <c r="J31" i="11"/>
  <c r="J34" i="11"/>
  <c r="J32" i="11"/>
  <c r="K31" i="11"/>
  <c r="K34" i="11"/>
  <c r="K32" i="11"/>
  <c r="E34" i="11"/>
  <c r="E32" i="11"/>
  <c r="E31" i="11"/>
  <c r="L32" i="11"/>
  <c r="L31" i="11"/>
  <c r="L34" i="11"/>
  <c r="H34" i="11"/>
  <c r="H31" i="11"/>
  <c r="H32" i="11"/>
  <c r="G34" i="11"/>
  <c r="G31" i="11"/>
  <c r="G32" i="11"/>
  <c r="N32" i="11"/>
  <c r="N34" i="11"/>
  <c r="N31" i="11"/>
</calcChain>
</file>

<file path=xl/sharedStrings.xml><?xml version="1.0" encoding="utf-8"?>
<sst xmlns="http://schemas.openxmlformats.org/spreadsheetml/2006/main" count="1425" uniqueCount="490">
  <si>
    <t>Produtor:</t>
  </si>
  <si>
    <t>Num</t>
  </si>
  <si>
    <t>Indicador</t>
  </si>
  <si>
    <t>Unidade</t>
  </si>
  <si>
    <t>Janeiro</t>
  </si>
  <si>
    <t>Fevereiro</t>
  </si>
  <si>
    <t>Março</t>
  </si>
  <si>
    <t>Abril</t>
  </si>
  <si>
    <t>Maio</t>
  </si>
  <si>
    <t>L/dia</t>
  </si>
  <si>
    <t>Área usada para pecuária</t>
  </si>
  <si>
    <t>ha</t>
  </si>
  <si>
    <t>%</t>
  </si>
  <si>
    <t>Vacas em lactação / rebanho</t>
  </si>
  <si>
    <t>L/dh</t>
  </si>
  <si>
    <t>Produção / área para pecuária (1 ÷ 2) x 365</t>
  </si>
  <si>
    <t>R$/Ano</t>
  </si>
  <si>
    <t>Renda bruta do leite</t>
  </si>
  <si>
    <t>R$/L</t>
  </si>
  <si>
    <t>Custo total do leite</t>
  </si>
  <si>
    <t>R$/Cab</t>
  </si>
  <si>
    <t>R$</t>
  </si>
  <si>
    <t>Custo da mão-de-obra familiar</t>
  </si>
  <si>
    <t>% a.a.</t>
  </si>
  <si>
    <t>Lucratividade</t>
  </si>
  <si>
    <t>Ponto de Nivelamento ( RB = CT) - Litros/dia</t>
  </si>
  <si>
    <t>Capital investido por litro de leite</t>
  </si>
  <si>
    <t>R$/Mês</t>
  </si>
  <si>
    <t>L/Mês</t>
  </si>
  <si>
    <t>R$/ha/Mês</t>
  </si>
  <si>
    <t>Mínimo</t>
  </si>
  <si>
    <t>-</t>
  </si>
  <si>
    <t>Máximo</t>
  </si>
  <si>
    <t>% MG</t>
  </si>
  <si>
    <t>% Proteína</t>
  </si>
  <si>
    <t>% Lactose</t>
  </si>
  <si>
    <t>% EST</t>
  </si>
  <si>
    <t>% ESD</t>
  </si>
  <si>
    <t>CCS/ml</t>
  </si>
  <si>
    <t>UFC/ml</t>
  </si>
  <si>
    <t>Mês</t>
  </si>
  <si>
    <t>Junho</t>
  </si>
  <si>
    <t>Julho</t>
  </si>
  <si>
    <t xml:space="preserve">Agosto </t>
  </si>
  <si>
    <t>Setembro</t>
  </si>
  <si>
    <t>Outubro</t>
  </si>
  <si>
    <t>Novembro</t>
  </si>
  <si>
    <t>Dezembro</t>
  </si>
  <si>
    <t>Responsável</t>
  </si>
  <si>
    <t>Data Análise</t>
  </si>
  <si>
    <t>Data Recebimento</t>
  </si>
  <si>
    <t>Parâmetro (IN 62)</t>
  </si>
  <si>
    <t>Data coleta</t>
  </si>
  <si>
    <t>Agosto</t>
  </si>
  <si>
    <t>Empréstimos</t>
  </si>
  <si>
    <t>Outros</t>
  </si>
  <si>
    <t>A - ENTRADAS</t>
  </si>
  <si>
    <t>Mão-de-obra permanente</t>
  </si>
  <si>
    <t>Leite para bezerro</t>
  </si>
  <si>
    <t>Impostos e taxas</t>
  </si>
  <si>
    <t>Reparos de máquinas</t>
  </si>
  <si>
    <t>Reparos de benfeitorias</t>
  </si>
  <si>
    <t>Concentrado</t>
  </si>
  <si>
    <t xml:space="preserve">  - Fubá de milho</t>
  </si>
  <si>
    <t xml:space="preserve">  - Farelo de trigo</t>
  </si>
  <si>
    <t xml:space="preserve">  - Farelo de Algodão</t>
  </si>
  <si>
    <t xml:space="preserve">  - Farelo de Soja</t>
  </si>
  <si>
    <t xml:space="preserve">  - Melaço</t>
  </si>
  <si>
    <t xml:space="preserve">  - Uréia</t>
  </si>
  <si>
    <t>Mineralização</t>
  </si>
  <si>
    <t>Medicamentos</t>
  </si>
  <si>
    <t xml:space="preserve">  - Sal comum</t>
  </si>
  <si>
    <t xml:space="preserve">  - Sal mineral</t>
  </si>
  <si>
    <t xml:space="preserve">  - Concentrado mineral</t>
  </si>
  <si>
    <t xml:space="preserve">  - Farinha de ossos</t>
  </si>
  <si>
    <t xml:space="preserve">  - Fosfato bicálcico</t>
  </si>
  <si>
    <t xml:space="preserve">  - Mistura preparada na fazenda</t>
  </si>
  <si>
    <t xml:space="preserve">  - Vermífugos</t>
  </si>
  <si>
    <t xml:space="preserve">  - Carrapaticida</t>
  </si>
  <si>
    <t xml:space="preserve">  - Vacinas - aftosa</t>
  </si>
  <si>
    <t xml:space="preserve">                     - brucelose</t>
  </si>
  <si>
    <t xml:space="preserve">                     - manqueira</t>
  </si>
  <si>
    <t xml:space="preserve">                     - raiva</t>
  </si>
  <si>
    <t xml:space="preserve">  - Antibióticos</t>
  </si>
  <si>
    <t xml:space="preserve">  - Antitóxicos</t>
  </si>
  <si>
    <t>Ordenha</t>
  </si>
  <si>
    <t xml:space="preserve">  - Detergentes</t>
  </si>
  <si>
    <t xml:space="preserve">  - Desinfetantes para tetos</t>
  </si>
  <si>
    <t xml:space="preserve">  - Materiais</t>
  </si>
  <si>
    <t xml:space="preserve">  - Outros</t>
  </si>
  <si>
    <t>Inseminação artificial</t>
  </si>
  <si>
    <t xml:space="preserve">  - Sêmen</t>
  </si>
  <si>
    <t xml:space="preserve">  - Nitrogênio líquido</t>
  </si>
  <si>
    <t xml:space="preserve">  - Luvas</t>
  </si>
  <si>
    <t xml:space="preserve">  - Inseminador contratado</t>
  </si>
  <si>
    <t>Quant</t>
  </si>
  <si>
    <t>V. Unit</t>
  </si>
  <si>
    <t>Total</t>
  </si>
  <si>
    <t xml:space="preserve">   - Formação de pastagens/Forragem de corte</t>
  </si>
  <si>
    <t xml:space="preserve">  - Benfeitorias/Instalações/Máquinas</t>
  </si>
  <si>
    <t xml:space="preserve">  - Aquisição de Animais</t>
  </si>
  <si>
    <t>Mão-de-obra familiar (não paga)</t>
  </si>
  <si>
    <t>TOTAL DE ENTRADAS</t>
  </si>
  <si>
    <t>Especificação</t>
  </si>
  <si>
    <t>Total do Leite</t>
  </si>
  <si>
    <t xml:space="preserve">Média </t>
  </si>
  <si>
    <t>Total Litros/ Mês (L)</t>
  </si>
  <si>
    <t>Sanitários</t>
  </si>
  <si>
    <t>Produtivos</t>
  </si>
  <si>
    <t>Categoria</t>
  </si>
  <si>
    <t>Compra</t>
  </si>
  <si>
    <t>Morte</t>
  </si>
  <si>
    <t>Venda</t>
  </si>
  <si>
    <t>Vaca Parida</t>
  </si>
  <si>
    <t>Vaca Seca</t>
  </si>
  <si>
    <t>Touro</t>
  </si>
  <si>
    <t>Macho 0 - 1 ano</t>
  </si>
  <si>
    <t>Equinos</t>
  </si>
  <si>
    <t>Muares</t>
  </si>
  <si>
    <t>Boi de Carro</t>
  </si>
  <si>
    <t>Total de vacas</t>
  </si>
  <si>
    <t>Vacas em lactação</t>
  </si>
  <si>
    <t>DADOS TÉCNICOS MENSAIS</t>
  </si>
  <si>
    <t>DADOS ECONÔMICOS MENSAIS</t>
  </si>
  <si>
    <t>Nome:</t>
  </si>
  <si>
    <t>Produção de leite/dia</t>
  </si>
  <si>
    <t>Empregados permanentes</t>
  </si>
  <si>
    <t>Familares que trabalham na propriedade</t>
  </si>
  <si>
    <t>Tabela 1.1 - Terras</t>
  </si>
  <si>
    <t>INÍCIO</t>
  </si>
  <si>
    <t>FINAL</t>
  </si>
  <si>
    <t>Área (ha)</t>
  </si>
  <si>
    <t>Valor da terra Nua</t>
  </si>
  <si>
    <t>Arren-</t>
  </si>
  <si>
    <t>Própria</t>
  </si>
  <si>
    <t>dada</t>
  </si>
  <si>
    <t>(R$/ha)</t>
  </si>
  <si>
    <t>Palma</t>
  </si>
  <si>
    <t>TOTAL PARA PECUÁRIA</t>
  </si>
  <si>
    <t>ÁREA TOTAL UTILIZADA PELA PECUÁRIA</t>
  </si>
  <si>
    <t>VALOR DA TERRA NUA PRÓPRIA</t>
  </si>
  <si>
    <t>VALOR DA TERRA NUA PRÓPRIA MÉDIO</t>
  </si>
  <si>
    <t>CUSTO MÉDIO DE FORMAÇÃO</t>
  </si>
  <si>
    <t>Vida Útil</t>
  </si>
  <si>
    <t>Depreciação</t>
  </si>
  <si>
    <t>Forrageiras não Anuiais</t>
  </si>
  <si>
    <t>R$/Ha</t>
  </si>
  <si>
    <t>Ha</t>
  </si>
  <si>
    <t>R$/total</t>
  </si>
  <si>
    <t>Anos</t>
  </si>
  <si>
    <t>TOTAL</t>
  </si>
  <si>
    <t>Tabela 1.2 - Animais</t>
  </si>
  <si>
    <t>Início</t>
  </si>
  <si>
    <t>Nasci/to</t>
  </si>
  <si>
    <t>Final</t>
  </si>
  <si>
    <t>Valor Inicial</t>
  </si>
  <si>
    <t>Valor Final</t>
  </si>
  <si>
    <t>Vaca Falhada</t>
  </si>
  <si>
    <t>Femeas 0 - 1 ano</t>
  </si>
  <si>
    <t>Femeas 1 - 2 anos</t>
  </si>
  <si>
    <t>Femeas 2 - 3 anos</t>
  </si>
  <si>
    <t>TOTAL DE ANIMAIS DE PRODUÇÃO</t>
  </si>
  <si>
    <t>TOTAL DE ANIMAIS DE SERVIÇO</t>
  </si>
  <si>
    <t>TOTAL DE ANIMAIS</t>
  </si>
  <si>
    <t>TOTAL (Calculado)</t>
  </si>
  <si>
    <t>VALOR MÉDIO DO REBANHO DE PRODUÇÃO</t>
  </si>
  <si>
    <t>VARIAÇÃO DE INVENTÁRIO ANIMAL</t>
  </si>
  <si>
    <t>Valor Gasto com Compra de  Animais</t>
  </si>
  <si>
    <t>Dados Adicionais</t>
  </si>
  <si>
    <t>Capital Investido em Reprodutores</t>
  </si>
  <si>
    <t>Vida Útil dos Reprodutores (anos)</t>
  </si>
  <si>
    <t>Depreciação dos Reprodutores - R$/ano</t>
  </si>
  <si>
    <t>Capital Investido em Animais de Serviços</t>
  </si>
  <si>
    <t>Vida Útil dos Animais de Serviços (anos)</t>
  </si>
  <si>
    <t>Depreciação dos Animais de Serviço - R$/ano</t>
  </si>
  <si>
    <t>Tabela 1.3 - Benfeitorias utilizadas na pecuária de leite</t>
  </si>
  <si>
    <t>Valor do Preço de Novo</t>
  </si>
  <si>
    <t>Quantidade</t>
  </si>
  <si>
    <t>Valor  Unt. (R$)</t>
  </si>
  <si>
    <t>Valor  Total (R$)</t>
  </si>
  <si>
    <t>Vida Útil (anos)</t>
  </si>
  <si>
    <t>R$/ano</t>
  </si>
  <si>
    <t>Sala de ordenha</t>
  </si>
  <si>
    <t>Ud</t>
  </si>
  <si>
    <t>currais de manejo</t>
  </si>
  <si>
    <t>Casa sede</t>
  </si>
  <si>
    <t>Cercas convencional</t>
  </si>
  <si>
    <t>km</t>
  </si>
  <si>
    <t>Açude</t>
  </si>
  <si>
    <t>Depósito de ração</t>
  </si>
  <si>
    <t>Tabela 1.4 - Máquinas utilizadas na pecuária de leite</t>
  </si>
  <si>
    <t>Picadeira de forragens</t>
  </si>
  <si>
    <t>ud</t>
  </si>
  <si>
    <t>Ordenhadeira mecanica</t>
  </si>
  <si>
    <t>Pulverizador</t>
  </si>
  <si>
    <t>Arado</t>
  </si>
  <si>
    <t>Moto</t>
  </si>
  <si>
    <t>Adubadeira tração animal</t>
  </si>
  <si>
    <t>Plaina trazeira</t>
  </si>
  <si>
    <t>Batedor de cereais</t>
  </si>
  <si>
    <t>Misturador</t>
  </si>
  <si>
    <t>Desintegrador</t>
  </si>
  <si>
    <t>Arado tração animal</t>
  </si>
  <si>
    <t>Bomba de água</t>
  </si>
  <si>
    <t>Eletrificador</t>
  </si>
  <si>
    <t>Caixa de água</t>
  </si>
  <si>
    <t>Roçadeira</t>
  </si>
  <si>
    <t>Computador</t>
  </si>
  <si>
    <t>INVENTÁRIO</t>
  </si>
  <si>
    <t>INDICADORES ECONÔMICOS MENSAIS</t>
  </si>
  <si>
    <t>Cidade</t>
  </si>
  <si>
    <t>MÉDIA Litros/dia (L)</t>
  </si>
  <si>
    <t xml:space="preserve">Produção mensal de leite </t>
  </si>
  <si>
    <t>TOTAL DE UA</t>
  </si>
  <si>
    <t>ESTIMATIVA DE CONSUMO DE VOLUMOSO</t>
  </si>
  <si>
    <t>TEORES DE MATÉRIA SECA</t>
  </si>
  <si>
    <t>Nome do Produtor:</t>
  </si>
  <si>
    <t>Silagem de milho</t>
  </si>
  <si>
    <t>Total de UA</t>
  </si>
  <si>
    <t>Silagem de sorgo</t>
  </si>
  <si>
    <t>Peso Vivo total rebanho (T)</t>
  </si>
  <si>
    <t>Silagem de milheto</t>
  </si>
  <si>
    <t>Qtde.</t>
  </si>
  <si>
    <t>Equiv.(UA)</t>
  </si>
  <si>
    <t>Total (UA)</t>
  </si>
  <si>
    <t xml:space="preserve">Exigência diária de MS (%) </t>
  </si>
  <si>
    <t>Feno (buffel)</t>
  </si>
  <si>
    <t>Bovinos</t>
  </si>
  <si>
    <t>Necessidade MS diária do rebanho (T)</t>
  </si>
  <si>
    <t>Feno (tifton 85)</t>
  </si>
  <si>
    <t>Touros</t>
  </si>
  <si>
    <t>% MS no alimento</t>
  </si>
  <si>
    <t>Vacas</t>
  </si>
  <si>
    <t>% Volumoso na ração</t>
  </si>
  <si>
    <t>Capim buffel</t>
  </si>
  <si>
    <t>Novilhas</t>
  </si>
  <si>
    <t>Necesidade diária de Volumoso (T)</t>
  </si>
  <si>
    <t>Garrotas(es)</t>
  </si>
  <si>
    <t>Necessidade diária de Volumoso (kg)</t>
  </si>
  <si>
    <t>Bezerras(os)</t>
  </si>
  <si>
    <t>Período utilização (dias)</t>
  </si>
  <si>
    <t>Animais de Serviços</t>
  </si>
  <si>
    <t>Nessidade para o período (T)</t>
  </si>
  <si>
    <t>TOTAL (UA)</t>
  </si>
  <si>
    <t>Nessidade para o período (Kg)</t>
  </si>
  <si>
    <t>Litros</t>
  </si>
  <si>
    <t>Litros por concentrado</t>
  </si>
  <si>
    <t>Total concentrado</t>
  </si>
  <si>
    <t>Produção total de leite</t>
  </si>
  <si>
    <t>Venda de Leite (L)</t>
  </si>
  <si>
    <t>Queijo</t>
  </si>
  <si>
    <t>B - SAÍDA</t>
  </si>
  <si>
    <t>Mão-de-obra temporária</t>
  </si>
  <si>
    <t>Energia</t>
  </si>
  <si>
    <t>Combustível</t>
  </si>
  <si>
    <t>Despesas com volumoso</t>
  </si>
  <si>
    <t xml:space="preserve">  - Compra de volumoso (Kg)</t>
  </si>
  <si>
    <t xml:space="preserve">  - Concentrado rebanho (produção)</t>
  </si>
  <si>
    <t xml:space="preserve">  - Concentrado rebalho (cria)</t>
  </si>
  <si>
    <t xml:space="preserve">  - Mata-bicheira</t>
  </si>
  <si>
    <t>Vitaminas e anti-inflamatório</t>
  </si>
  <si>
    <t xml:space="preserve">  - Pipetas/bainha</t>
  </si>
  <si>
    <t>DESPESAS DE INVESTIMENTOS</t>
  </si>
  <si>
    <t xml:space="preserve">  - Pagamento de empréstimos no mês</t>
  </si>
  <si>
    <t>Nº V. Lactação</t>
  </si>
  <si>
    <t>Nº V. Secas</t>
  </si>
  <si>
    <t>Nº de Novilhas</t>
  </si>
  <si>
    <t>Nº de Bezerras</t>
  </si>
  <si>
    <t>Nº de Bezerros</t>
  </si>
  <si>
    <t>Nº coberturas</t>
  </si>
  <si>
    <t>Nº partos</t>
  </si>
  <si>
    <t>Nº Animais comprados</t>
  </si>
  <si>
    <t>INDICADORES SANITÁRIOS</t>
  </si>
  <si>
    <t>Nº Abortos</t>
  </si>
  <si>
    <t>Nº Natimortos</t>
  </si>
  <si>
    <t>Nº Retenção de placenta</t>
  </si>
  <si>
    <t>Nº Morte de bezerros</t>
  </si>
  <si>
    <t>Nº Bezerros doentes</t>
  </si>
  <si>
    <t>Nº Morte de novilhas</t>
  </si>
  <si>
    <t>Nº Morte de vacas</t>
  </si>
  <si>
    <t>Nº Vacas com mastite clínica</t>
  </si>
  <si>
    <t>Média</t>
  </si>
  <si>
    <t>INDICADORES PRODUTIVOS</t>
  </si>
  <si>
    <t>DESPESAS DE EMPRÉSTIMOS</t>
  </si>
  <si>
    <t>RESUMO DO INVENTÁRIO</t>
  </si>
  <si>
    <t>Terras</t>
  </si>
  <si>
    <t>Forrageiras não anuais</t>
  </si>
  <si>
    <t>Animais</t>
  </si>
  <si>
    <t>Benfeitorias utilizadas para pecuária de leite</t>
  </si>
  <si>
    <t>Máquinas utilizadas na pecuária de leite</t>
  </si>
  <si>
    <t>RESUMO DA DEPRECIAÇÃO</t>
  </si>
  <si>
    <t>Animais de trabalho</t>
  </si>
  <si>
    <t>Reprodutores</t>
  </si>
  <si>
    <t>Benfeitorias utilizadas na pecuária de leite</t>
  </si>
  <si>
    <t>Custo de oportunidade</t>
  </si>
  <si>
    <t>COE do leite/preço do leite</t>
  </si>
  <si>
    <t>COT do leite/preço do leite</t>
  </si>
  <si>
    <t>CT do leite/preço do leite</t>
  </si>
  <si>
    <t>Margem bruta do leite</t>
  </si>
  <si>
    <t>COE unitário do leite</t>
  </si>
  <si>
    <t>COE do leite</t>
  </si>
  <si>
    <t>COT do leite</t>
  </si>
  <si>
    <t>Margem bruta/Área</t>
  </si>
  <si>
    <t>Margem bruta/vaca em lactação</t>
  </si>
  <si>
    <t>Margem bruta/total de vacas</t>
  </si>
  <si>
    <t>Margem líquida unitária</t>
  </si>
  <si>
    <t xml:space="preserve">Margem líquida em equivalente litros de leite </t>
  </si>
  <si>
    <t>Margem líquida/Área</t>
  </si>
  <si>
    <t>Margem líquida do leite</t>
  </si>
  <si>
    <t>COT unitário do leite</t>
  </si>
  <si>
    <t>Preço médio mensal do leite</t>
  </si>
  <si>
    <t>Margem bruta unitária</t>
  </si>
  <si>
    <t>CT unitário do leite</t>
  </si>
  <si>
    <t>Lucro unitário</t>
  </si>
  <si>
    <t>Bezerras</t>
  </si>
  <si>
    <t>Bezerros</t>
  </si>
  <si>
    <t>Vacas em lactação / total de vacas</t>
  </si>
  <si>
    <t>Rebanho total</t>
  </si>
  <si>
    <t>Leite/atividade leiteira</t>
  </si>
  <si>
    <t>Depreciação do leite</t>
  </si>
  <si>
    <t>Lucro em equivalente litros de leite</t>
  </si>
  <si>
    <t>Lucro total do leite</t>
  </si>
  <si>
    <t>Carroça</t>
  </si>
  <si>
    <t>Valor (R$/Cab)</t>
  </si>
  <si>
    <t>Área para pecuária leiteira (ha)</t>
  </si>
  <si>
    <t>Tamanho da propriedade (ha)</t>
  </si>
  <si>
    <t>Vacas em lactação / área para pecuária</t>
  </si>
  <si>
    <t>Cab./há</t>
  </si>
  <si>
    <t>Produção / vaca em lactação</t>
  </si>
  <si>
    <t>L/mês</t>
  </si>
  <si>
    <t>%a.m.</t>
  </si>
  <si>
    <t>Produção / mão-de-obra permanente (contratada)</t>
  </si>
  <si>
    <t>L/ha/mês</t>
  </si>
  <si>
    <t>Venda de animais (und)</t>
  </si>
  <si>
    <t>Consumo interno (produtor e func.)</t>
  </si>
  <si>
    <t>Gastos extras</t>
  </si>
  <si>
    <t>Sub-total</t>
  </si>
  <si>
    <t xml:space="preserve">  - Compra de volumoso (R$)</t>
  </si>
  <si>
    <t xml:space="preserve">  - Calcário (R$)</t>
  </si>
  <si>
    <t xml:space="preserve">  - Adubo químico (R$)</t>
  </si>
  <si>
    <t xml:space="preserve">  - Adubo orgânico comprado (R$)</t>
  </si>
  <si>
    <t xml:space="preserve">  - Serviços mecânicos (R$)</t>
  </si>
  <si>
    <t xml:space="preserve">  - Serviços de tração animal (R$)</t>
  </si>
  <si>
    <t xml:space="preserve">  - Defensivo/veneno (R$)</t>
  </si>
  <si>
    <t xml:space="preserve">  - Frete (R$)</t>
  </si>
  <si>
    <t xml:space="preserve">  - Sementes (R$)</t>
  </si>
  <si>
    <t xml:space="preserve">  - Aluguel de pastagens (R$)</t>
  </si>
  <si>
    <t xml:space="preserve">  - Cama de galinha</t>
  </si>
  <si>
    <t xml:space="preserve">  - Outros, qual?</t>
  </si>
  <si>
    <t xml:space="preserve">                     - outras</t>
  </si>
  <si>
    <t>Material de limpeza e desinfecção</t>
  </si>
  <si>
    <t>Cab.</t>
  </si>
  <si>
    <t>Ponto de Resíduo ( RB = COT )</t>
  </si>
  <si>
    <t>Capital empatado leite</t>
  </si>
  <si>
    <t>Renda bruta da atividade leiteira</t>
  </si>
  <si>
    <t>Vacas em lactação / funcionário</t>
  </si>
  <si>
    <t>Grupo de Estudo em Gestão Rural</t>
  </si>
  <si>
    <t>Pecuária Leiteira</t>
  </si>
  <si>
    <t>INDICADORES ECONÔMICOS ANUAIS</t>
  </si>
  <si>
    <t>INDICADORES TÉCNICOS ANUAIS</t>
  </si>
  <si>
    <t>Estoque de capital da atividade (sem terra)</t>
  </si>
  <si>
    <t>Estoque do capital da atividade (com terra)</t>
  </si>
  <si>
    <t>Taxa de remuneração do capital sem terra</t>
  </si>
  <si>
    <t>Taxa de remuneração do capital com terra</t>
  </si>
  <si>
    <t>Remuneração da mão-de-obra familiar</t>
  </si>
  <si>
    <t>Salário mínimo</t>
  </si>
  <si>
    <t>MÃO DE OBRA FAMILIAR</t>
  </si>
  <si>
    <t>Décimo terceiro</t>
  </si>
  <si>
    <t>Terço de férias</t>
  </si>
  <si>
    <t>Custo total do salário mensal</t>
  </si>
  <si>
    <t>Anual</t>
  </si>
  <si>
    <t>COE unitário da atividade</t>
  </si>
  <si>
    <t>COT unitário da atividade</t>
  </si>
  <si>
    <t>COT da atividade leiteira</t>
  </si>
  <si>
    <t>COE da atividade leiteira</t>
  </si>
  <si>
    <t>Gasto com MDO contratada permanente na ativ./renda bruta do leite</t>
  </si>
  <si>
    <t>Produção / área para pecuária</t>
  </si>
  <si>
    <t>Margem bruta da atividade leiteira</t>
  </si>
  <si>
    <t>Margem bruta em equivalente litros de leite</t>
  </si>
  <si>
    <t>L/Ano</t>
  </si>
  <si>
    <t>Lucro total da atividade leiteira</t>
  </si>
  <si>
    <t>CT da atividade leiteira</t>
  </si>
  <si>
    <t>Renda do leite/Renda atividade</t>
  </si>
  <si>
    <t>Gasto com MDO total na ativ./ renda bruta da atividade</t>
  </si>
  <si>
    <t>Gasto com concentrado na ativ./renda bruta da atividade</t>
  </si>
  <si>
    <t>Armazém</t>
  </si>
  <si>
    <t xml:space="preserve">Produção anual de leite </t>
  </si>
  <si>
    <t>L/ano</t>
  </si>
  <si>
    <t>m³</t>
  </si>
  <si>
    <t>diferença</t>
  </si>
  <si>
    <t xml:space="preserve">Especificação </t>
  </si>
  <si>
    <t>Quant/ha</t>
  </si>
  <si>
    <t>Quant.Total</t>
  </si>
  <si>
    <t>Preço Unitário</t>
  </si>
  <si>
    <t>Mão-de-obra</t>
  </si>
  <si>
    <t>dh</t>
  </si>
  <si>
    <t>Sementes</t>
  </si>
  <si>
    <t>kg</t>
  </si>
  <si>
    <t>Mudas</t>
  </si>
  <si>
    <t>Adubo quimico</t>
  </si>
  <si>
    <t>Calcario</t>
  </si>
  <si>
    <t>Adubo orgânico</t>
  </si>
  <si>
    <t>Ton</t>
  </si>
  <si>
    <t>Serviços mecânicos contratado</t>
  </si>
  <si>
    <t>Hm</t>
  </si>
  <si>
    <t>Herbicida</t>
  </si>
  <si>
    <t>L</t>
  </si>
  <si>
    <t>Inseticida</t>
  </si>
  <si>
    <t>Fungicida</t>
  </si>
  <si>
    <t>Fretes</t>
  </si>
  <si>
    <t>Taxa de juros anual</t>
  </si>
  <si>
    <t>Área 1 - ha</t>
  </si>
  <si>
    <t>Vida útil - anos</t>
  </si>
  <si>
    <t>Depreciação anual</t>
  </si>
  <si>
    <t>Remuneração do capital médio</t>
  </si>
  <si>
    <t>Área 3 - há</t>
  </si>
  <si>
    <t>Custo total de formação da forrageira 3</t>
  </si>
  <si>
    <t>Área 4 - ha</t>
  </si>
  <si>
    <t>Custo total de formação da forrageira 4</t>
  </si>
  <si>
    <t>Área 5 - ha</t>
  </si>
  <si>
    <t>Custo total de formação da forrageira 5</t>
  </si>
  <si>
    <t>Área 6 - há</t>
  </si>
  <si>
    <t>Custo total de formação da forrageira 6</t>
  </si>
  <si>
    <t>Custo total de formação da forrageira 1</t>
  </si>
  <si>
    <t>Custo total de formação da forrageira 2</t>
  </si>
  <si>
    <t>CUSTO DE FORMAÇÃO DE FORRAGEIRA 1:</t>
  </si>
  <si>
    <t>CUSTO DE FORMAÇÃO DE FORRAGEIRA 2:</t>
  </si>
  <si>
    <t>CUSTO DE FORMAÇÃO DE FORRAGEIRA 3:</t>
  </si>
  <si>
    <t>CUSTO DE FORMAÇÃO DE FORRAGEIRA 4:</t>
  </si>
  <si>
    <t>CUSTO DE FORMAÇÃO DE FORRAGEIRA 5:</t>
  </si>
  <si>
    <t>CUSTO DE FORMAÇÃO DE FORRAGEIRA 6:</t>
  </si>
  <si>
    <t>Renda Bruta do Leite</t>
  </si>
  <si>
    <t>Unid</t>
  </si>
  <si>
    <t>Gasto com MDO contratada permanente do leite/renda bruta do leite</t>
  </si>
  <si>
    <t>Gasto com concentrado do leite/renda bruta do leite</t>
  </si>
  <si>
    <t>Gasto com MDO total do leite/ renda bruta do leite</t>
  </si>
  <si>
    <t>Margem bruta/área</t>
  </si>
  <si>
    <t>Margem bruta/vacas em lactação</t>
  </si>
  <si>
    <t>Margem Líquida do leite</t>
  </si>
  <si>
    <t>Ponto de resíduo (RB=COT)</t>
  </si>
  <si>
    <t>INDICADORES ECONÔMICOS</t>
  </si>
  <si>
    <t>INDICADORES TÉCNICOS</t>
  </si>
  <si>
    <t>Produção mensal de leite</t>
  </si>
  <si>
    <t>UNIVERSIDADE FEDERAL RURAL DE PERNAMBUCO</t>
  </si>
  <si>
    <t>UNIDADE ACADÊMICA DE GARANHUNS</t>
  </si>
  <si>
    <t>GRUPO DE ESTUDO EM GESTÃO RURAL - LEITE</t>
  </si>
  <si>
    <t xml:space="preserve">Av. Bom Pastor, S/N - Boa Vista, CEP: 55296-190 </t>
  </si>
  <si>
    <t>Garanhuns, PE</t>
  </si>
  <si>
    <t>Telefone: (87) 3761-0696/ 3761-0882</t>
  </si>
  <si>
    <t>GRUPO DE PESQUISA EM GESTÃO RURAL - LEITE</t>
  </si>
  <si>
    <t>Cochos</t>
  </si>
  <si>
    <t xml:space="preserve">Casa </t>
  </si>
  <si>
    <t>Bebedouro</t>
  </si>
  <si>
    <t>Silo</t>
  </si>
  <si>
    <t>Motor a óleo</t>
  </si>
  <si>
    <t>Ensiladeira</t>
  </si>
  <si>
    <t xml:space="preserve">Carreta </t>
  </si>
  <si>
    <t>Balança</t>
  </si>
  <si>
    <t>Veículo</t>
  </si>
  <si>
    <t>Botijão de sêmen</t>
  </si>
  <si>
    <t>Tamanho (ha):</t>
  </si>
  <si>
    <t>Ponto de Nivelamento ( RB = CT)</t>
  </si>
  <si>
    <t>Cab./ha.</t>
  </si>
  <si>
    <t>Cab./dh</t>
  </si>
  <si>
    <t>Preço médio do leite</t>
  </si>
  <si>
    <t>R$/ha/Ano</t>
  </si>
  <si>
    <t>Margem líquida da atividade leiteira</t>
  </si>
  <si>
    <t>%a.a.</t>
  </si>
  <si>
    <t>Rebanho médio total</t>
  </si>
  <si>
    <t>COE DA ATIVIDADE LEITEIRA</t>
  </si>
  <si>
    <t>GPGR - Leite</t>
  </si>
  <si>
    <t>Elaborado por: Moisés Tenório Férrer</t>
  </si>
  <si>
    <t>Médico Veterinário</t>
  </si>
  <si>
    <t>moises.vet@outlook.com</t>
  </si>
  <si>
    <t>Indicadores</t>
  </si>
  <si>
    <t>INDICADORES TÉCNICOS MENSAIS</t>
  </si>
  <si>
    <t>ANÁLISE DO LEITE</t>
  </si>
  <si>
    <t>Sione Maria Ferreira Queiros Marques</t>
  </si>
  <si>
    <t>Garanhuns (Miracica)</t>
  </si>
  <si>
    <t>Reserva legal</t>
  </si>
  <si>
    <t>Pastagem - Decumbens</t>
  </si>
  <si>
    <t>Pastagem - Nativa</t>
  </si>
  <si>
    <t xml:space="preserve">Palma </t>
  </si>
  <si>
    <t>Capineira de C. Elefante</t>
  </si>
  <si>
    <t>Tifton</t>
  </si>
  <si>
    <t>Mombaça</t>
  </si>
  <si>
    <t>Fêmea 3 - 4 anos</t>
  </si>
  <si>
    <t>Bezerreiro coletivo</t>
  </si>
  <si>
    <t>Galpão de máquinas</t>
  </si>
  <si>
    <t>Energia Elétrica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</si>
</sst>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#,##0.0"/>
    <numFmt numFmtId="168" formatCode="_-* #,##0_-;\-* #,##0_-;_-* &quot;-&quot;??_-;_-@_-"/>
    <numFmt numFmtId="169" formatCode="&quot;R$&quot;#,##0.00_);\(&quot;R$&quot;#,##0.00\)"/>
    <numFmt numFmtId="170" formatCode="_(* #,##0_);_(* \(#,##0\);_(* &quot;-&quot;??_);_(@_)"/>
    <numFmt numFmtId="171" formatCode="&quot;R$&quot;#,##0.0"/>
    <numFmt numFmtId="172" formatCode="&quot;R$&quot;#,##0.00"/>
    <numFmt numFmtId="173" formatCode="#,##0_);\(#,##0\)"/>
    <numFmt numFmtId="174" formatCode="0.000"/>
    <numFmt numFmtId="175" formatCode="0.0%"/>
  </numFmts>
  <fonts count="3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b/>
      <sz val="1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indexed="8"/>
      <name val="MS Sans Serif"/>
      <family val="2"/>
    </font>
    <font>
      <b/>
      <sz val="12"/>
      <color indexed="8"/>
      <name val="MS Sans Serif"/>
      <family val="2"/>
    </font>
    <font>
      <sz val="11"/>
      <name val="Calibri"/>
      <family val="2"/>
      <scheme val="minor"/>
    </font>
    <font>
      <u/>
      <sz val="18"/>
      <color rgb="FF0070C0"/>
      <name val="Calibri"/>
      <family val="2"/>
      <scheme val="minor"/>
    </font>
    <font>
      <sz val="14"/>
      <color rgb="FF000000"/>
      <name val="Calibri"/>
      <family val="2"/>
    </font>
    <font>
      <b/>
      <sz val="12"/>
      <color indexed="8"/>
      <name val="MS Sans Serif"/>
      <family val="2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18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6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561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4" fillId="2" borderId="31" xfId="0" applyFont="1" applyFill="1" applyBorder="1"/>
    <xf numFmtId="0" fontId="4" fillId="2" borderId="0" xfId="0" applyFont="1" applyFill="1" applyBorder="1" applyAlignment="1"/>
    <xf numFmtId="0" fontId="4" fillId="2" borderId="10" xfId="0" applyFont="1" applyFill="1" applyBorder="1" applyAlignment="1">
      <alignment horizontal="center"/>
    </xf>
    <xf numFmtId="0" fontId="4" fillId="2" borderId="0" xfId="0" applyFont="1" applyFill="1" applyBorder="1"/>
    <xf numFmtId="0" fontId="0" fillId="2" borderId="24" xfId="0" applyFill="1" applyBorder="1"/>
    <xf numFmtId="0" fontId="0" fillId="2" borderId="37" xfId="0" applyFill="1" applyBorder="1"/>
    <xf numFmtId="0" fontId="4" fillId="2" borderId="2" xfId="0" applyFont="1" applyFill="1" applyBorder="1"/>
    <xf numFmtId="0" fontId="0" fillId="2" borderId="31" xfId="0" applyFill="1" applyBorder="1"/>
    <xf numFmtId="0" fontId="0" fillId="2" borderId="26" xfId="0" applyFill="1" applyBorder="1"/>
    <xf numFmtId="0" fontId="4" fillId="2" borderId="37" xfId="0" applyFont="1" applyFill="1" applyBorder="1" applyAlignment="1">
      <alignment horizontal="center"/>
    </xf>
    <xf numFmtId="0" fontId="0" fillId="2" borderId="25" xfId="0" applyFill="1" applyBorder="1"/>
    <xf numFmtId="0" fontId="4" fillId="2" borderId="19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/>
    <xf numFmtId="0" fontId="4" fillId="2" borderId="16" xfId="0" applyFont="1" applyFill="1" applyBorder="1" applyAlignment="1">
      <alignment horizontal="center"/>
    </xf>
    <xf numFmtId="0" fontId="0" fillId="2" borderId="32" xfId="0" applyFill="1" applyBorder="1"/>
    <xf numFmtId="0" fontId="4" fillId="2" borderId="32" xfId="0" applyFont="1" applyFill="1" applyBorder="1" applyAlignment="1">
      <alignment horizontal="center"/>
    </xf>
    <xf numFmtId="0" fontId="7" fillId="2" borderId="19" xfId="0" applyFont="1" applyFill="1" applyBorder="1" applyAlignment="1" applyProtection="1">
      <alignment horizontal="center"/>
      <protection hidden="1"/>
    </xf>
    <xf numFmtId="0" fontId="7" fillId="2" borderId="27" xfId="0" applyFont="1" applyFill="1" applyBorder="1" applyAlignment="1" applyProtection="1">
      <alignment horizontal="center"/>
      <protection hidden="1"/>
    </xf>
    <xf numFmtId="49" fontId="7" fillId="2" borderId="8" xfId="0" quotePrefix="1" applyNumberFormat="1" applyFont="1" applyFill="1" applyBorder="1" applyAlignment="1">
      <alignment horizont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0" fillId="2" borderId="8" xfId="0" applyFill="1" applyBorder="1"/>
    <xf numFmtId="0" fontId="0" fillId="2" borderId="17" xfId="0" applyFill="1" applyBorder="1"/>
    <xf numFmtId="0" fontId="0" fillId="2" borderId="24" xfId="0" applyFont="1" applyFill="1" applyBorder="1"/>
    <xf numFmtId="0" fontId="4" fillId="2" borderId="8" xfId="0" applyFont="1" applyFill="1" applyBorder="1"/>
    <xf numFmtId="0" fontId="9" fillId="2" borderId="0" xfId="0" applyFont="1" applyFill="1"/>
    <xf numFmtId="0" fontId="10" fillId="2" borderId="48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43" xfId="0" applyFill="1" applyBorder="1"/>
    <xf numFmtId="0" fontId="0" fillId="4" borderId="1" xfId="0" applyFill="1" applyBorder="1"/>
    <xf numFmtId="0" fontId="0" fillId="4" borderId="2" xfId="0" applyFill="1" applyBorder="1"/>
    <xf numFmtId="0" fontId="0" fillId="6" borderId="12" xfId="0" applyFill="1" applyBorder="1" applyAlignment="1" applyProtection="1">
      <alignment horizontal="center"/>
      <protection hidden="1"/>
    </xf>
    <xf numFmtId="165" fontId="0" fillId="6" borderId="12" xfId="1" applyFont="1" applyFill="1" applyBorder="1" applyAlignment="1" applyProtection="1">
      <alignment horizontal="center"/>
      <protection hidden="1"/>
    </xf>
    <xf numFmtId="0" fontId="0" fillId="6" borderId="24" xfId="0" applyFill="1" applyBorder="1" applyAlignment="1" applyProtection="1">
      <alignment horizontal="center"/>
      <protection hidden="1"/>
    </xf>
    <xf numFmtId="165" fontId="0" fillId="6" borderId="24" xfId="1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 applyProtection="1">
      <alignment horizontal="center"/>
      <protection hidden="1"/>
    </xf>
    <xf numFmtId="165" fontId="0" fillId="6" borderId="17" xfId="1" applyFont="1" applyFill="1" applyBorder="1" applyAlignment="1" applyProtection="1">
      <alignment horizontal="center"/>
      <protection hidden="1"/>
    </xf>
    <xf numFmtId="0" fontId="8" fillId="5" borderId="8" xfId="0" applyFont="1" applyFill="1" applyBorder="1" applyAlignment="1" applyProtection="1">
      <alignment horizontal="center"/>
      <protection locked="0"/>
    </xf>
    <xf numFmtId="165" fontId="8" fillId="5" borderId="8" xfId="1" applyFont="1" applyFill="1" applyBorder="1" applyAlignment="1" applyProtection="1">
      <alignment horizontal="center"/>
      <protection locked="0"/>
    </xf>
    <xf numFmtId="0" fontId="8" fillId="5" borderId="12" xfId="0" applyFont="1" applyFill="1" applyBorder="1" applyAlignment="1" applyProtection="1">
      <alignment horizontal="center"/>
      <protection locked="0"/>
    </xf>
    <xf numFmtId="165" fontId="8" fillId="5" borderId="54" xfId="1" applyFont="1" applyFill="1" applyBorder="1" applyAlignment="1" applyProtection="1">
      <alignment horizontal="center"/>
      <protection locked="0"/>
    </xf>
    <xf numFmtId="0" fontId="8" fillId="5" borderId="25" xfId="0" applyFont="1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8" fillId="5" borderId="54" xfId="0" applyFont="1" applyFill="1" applyBorder="1" applyAlignment="1" applyProtection="1">
      <alignment horizontal="center"/>
      <protection locked="0"/>
    </xf>
    <xf numFmtId="0" fontId="7" fillId="6" borderId="25" xfId="0" applyFont="1" applyFill="1" applyBorder="1" applyAlignment="1" applyProtection="1">
      <protection hidden="1"/>
    </xf>
    <xf numFmtId="0" fontId="7" fillId="6" borderId="12" xfId="0" applyFont="1" applyFill="1" applyBorder="1" applyAlignment="1" applyProtection="1">
      <alignment horizontal="center"/>
      <protection hidden="1"/>
    </xf>
    <xf numFmtId="0" fontId="7" fillId="6" borderId="25" xfId="0" applyFont="1" applyFill="1" applyBorder="1" applyAlignment="1" applyProtection="1">
      <alignment horizontal="center"/>
      <protection hidden="1"/>
    </xf>
    <xf numFmtId="0" fontId="7" fillId="6" borderId="0" xfId="0" applyFont="1" applyFill="1" applyBorder="1" applyAlignment="1" applyProtection="1">
      <protection hidden="1"/>
    </xf>
    <xf numFmtId="0" fontId="7" fillId="6" borderId="21" xfId="0" applyFont="1" applyFill="1" applyBorder="1" applyAlignment="1" applyProtection="1">
      <protection hidden="1"/>
    </xf>
    <xf numFmtId="0" fontId="7" fillId="6" borderId="27" xfId="0" applyFont="1" applyFill="1" applyBorder="1" applyAlignment="1" applyProtection="1">
      <alignment horizontal="left"/>
      <protection hidden="1"/>
    </xf>
    <xf numFmtId="0" fontId="0" fillId="5" borderId="0" xfId="0" applyFill="1"/>
    <xf numFmtId="0" fontId="7" fillId="6" borderId="25" xfId="0" applyFont="1" applyFill="1" applyBorder="1" applyAlignment="1">
      <alignment horizontal="center"/>
    </xf>
    <xf numFmtId="0" fontId="7" fillId="6" borderId="55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67" fontId="0" fillId="6" borderId="0" xfId="0" applyNumberFormat="1" applyFill="1" applyAlignment="1">
      <alignment horizontal="center"/>
    </xf>
    <xf numFmtId="0" fontId="7" fillId="6" borderId="3" xfId="0" applyFont="1" applyFill="1" applyBorder="1" applyAlignment="1">
      <alignment horizontal="center"/>
    </xf>
    <xf numFmtId="167" fontId="7" fillId="6" borderId="3" xfId="0" applyNumberFormat="1" applyFont="1" applyFill="1" applyBorder="1" applyAlignment="1">
      <alignment horizontal="center"/>
    </xf>
    <xf numFmtId="0" fontId="7" fillId="6" borderId="8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>
      <alignment horizontal="center"/>
    </xf>
    <xf numFmtId="165" fontId="0" fillId="6" borderId="0" xfId="0" applyNumberFormat="1" applyFill="1" applyBorder="1"/>
    <xf numFmtId="165" fontId="0" fillId="6" borderId="56" xfId="0" applyNumberFormat="1" applyFill="1" applyBorder="1"/>
    <xf numFmtId="0" fontId="0" fillId="5" borderId="24" xfId="0" applyFill="1" applyBorder="1" applyAlignment="1" applyProtection="1">
      <alignment horizontal="center"/>
      <protection locked="0"/>
    </xf>
    <xf numFmtId="0" fontId="7" fillId="6" borderId="8" xfId="0" applyFont="1" applyFill="1" applyBorder="1" applyAlignment="1" applyProtection="1">
      <alignment horizontal="center"/>
      <protection locked="0"/>
    </xf>
    <xf numFmtId="165" fontId="7" fillId="6" borderId="27" xfId="0" applyNumberFormat="1" applyFont="1" applyFill="1" applyBorder="1"/>
    <xf numFmtId="165" fontId="7" fillId="6" borderId="16" xfId="0" applyNumberFormat="1" applyFont="1" applyFill="1" applyBorder="1"/>
    <xf numFmtId="0" fontId="0" fillId="5" borderId="0" xfId="0" applyFill="1" applyBorder="1" applyAlignment="1" applyProtection="1">
      <alignment horizontal="left"/>
      <protection hidden="1"/>
    </xf>
    <xf numFmtId="1" fontId="0" fillId="6" borderId="8" xfId="1" applyNumberFormat="1" applyFont="1" applyFill="1" applyBorder="1" applyAlignment="1" applyProtection="1">
      <alignment horizontal="center"/>
      <protection hidden="1"/>
    </xf>
    <xf numFmtId="0" fontId="0" fillId="6" borderId="27" xfId="0" applyFill="1" applyBorder="1" applyAlignment="1">
      <alignment horizontal="center"/>
    </xf>
    <xf numFmtId="1" fontId="7" fillId="6" borderId="8" xfId="1" applyNumberFormat="1" applyFont="1" applyFill="1" applyBorder="1" applyAlignment="1" applyProtection="1">
      <alignment horizontal="center"/>
      <protection hidden="1"/>
    </xf>
    <xf numFmtId="1" fontId="0" fillId="6" borderId="27" xfId="0" applyNumberFormat="1" applyFill="1" applyBorder="1" applyAlignment="1">
      <alignment horizontal="center"/>
    </xf>
    <xf numFmtId="0" fontId="7" fillId="6" borderId="19" xfId="0" applyFont="1" applyFill="1" applyBorder="1"/>
    <xf numFmtId="171" fontId="7" fillId="6" borderId="27" xfId="0" applyNumberFormat="1" applyFont="1" applyFill="1" applyBorder="1" applyAlignment="1">
      <alignment horizontal="center"/>
    </xf>
    <xf numFmtId="0" fontId="7" fillId="6" borderId="0" xfId="0" applyFont="1" applyFill="1" applyAlignment="1"/>
    <xf numFmtId="172" fontId="7" fillId="6" borderId="0" xfId="0" applyNumberFormat="1" applyFont="1" applyFill="1" applyAlignment="1">
      <alignment horizontal="center"/>
    </xf>
    <xf numFmtId="0" fontId="7" fillId="5" borderId="19" xfId="0" applyFont="1" applyFill="1" applyBorder="1"/>
    <xf numFmtId="0" fontId="7" fillId="5" borderId="16" xfId="0" applyFont="1" applyFill="1" applyBorder="1"/>
    <xf numFmtId="0" fontId="7" fillId="6" borderId="25" xfId="0" applyFont="1" applyFill="1" applyBorder="1"/>
    <xf numFmtId="0" fontId="0" fillId="6" borderId="54" xfId="0" applyFill="1" applyBorder="1"/>
    <xf numFmtId="0" fontId="0" fillId="6" borderId="26" xfId="0" applyFill="1" applyBorder="1"/>
    <xf numFmtId="165" fontId="0" fillId="6" borderId="56" xfId="0" applyNumberFormat="1" applyFill="1" applyBorder="1" applyAlignment="1"/>
    <xf numFmtId="0" fontId="0" fillId="5" borderId="26" xfId="0" applyFill="1" applyBorder="1"/>
    <xf numFmtId="2" fontId="0" fillId="6" borderId="56" xfId="0" applyNumberFormat="1" applyFill="1" applyBorder="1" applyAlignment="1">
      <alignment horizontal="center"/>
    </xf>
    <xf numFmtId="0" fontId="0" fillId="5" borderId="56" xfId="0" applyFill="1" applyBorder="1"/>
    <xf numFmtId="4" fontId="0" fillId="6" borderId="56" xfId="0" applyNumberFormat="1" applyFill="1" applyBorder="1" applyAlignment="1">
      <alignment horizontal="center"/>
    </xf>
    <xf numFmtId="0" fontId="0" fillId="6" borderId="21" xfId="0" applyFill="1" applyBorder="1"/>
    <xf numFmtId="2" fontId="0" fillId="6" borderId="57" xfId="0" applyNumberFormat="1" applyFill="1" applyBorder="1" applyAlignment="1">
      <alignment horizontal="center"/>
    </xf>
    <xf numFmtId="165" fontId="7" fillId="6" borderId="8" xfId="1" applyFont="1" applyFill="1" applyBorder="1" applyAlignment="1" applyProtection="1">
      <alignment horizontal="center"/>
      <protection hidden="1"/>
    </xf>
    <xf numFmtId="0" fontId="7" fillId="6" borderId="8" xfId="0" applyFont="1" applyFill="1" applyBorder="1" applyAlignment="1" applyProtection="1">
      <alignment horizontal="right"/>
      <protection hidden="1"/>
    </xf>
    <xf numFmtId="0" fontId="8" fillId="6" borderId="8" xfId="0" applyFont="1" applyFill="1" applyBorder="1" applyAlignment="1" applyProtection="1">
      <alignment horizontal="left"/>
      <protection hidden="1"/>
    </xf>
    <xf numFmtId="0" fontId="8" fillId="6" borderId="8" xfId="0" applyFont="1" applyFill="1" applyBorder="1" applyAlignment="1" applyProtection="1">
      <alignment horizontal="center"/>
      <protection hidden="1"/>
    </xf>
    <xf numFmtId="167" fontId="0" fillId="0" borderId="8" xfId="0" applyNumberFormat="1" applyBorder="1" applyAlignment="1" applyProtection="1">
      <alignment horizontal="center"/>
      <protection locked="0"/>
    </xf>
    <xf numFmtId="4" fontId="0" fillId="0" borderId="8" xfId="1" applyNumberFormat="1" applyFont="1" applyBorder="1" applyAlignment="1" applyProtection="1">
      <alignment horizontal="center"/>
      <protection locked="0"/>
    </xf>
    <xf numFmtId="4" fontId="0" fillId="6" borderId="8" xfId="1" applyNumberFormat="1" applyFont="1" applyFill="1" applyBorder="1" applyAlignment="1" applyProtection="1">
      <alignment horizontal="center"/>
      <protection locked="0"/>
    </xf>
    <xf numFmtId="0" fontId="8" fillId="6" borderId="8" xfId="0" applyFont="1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8" fillId="0" borderId="8" xfId="0" applyFont="1" applyBorder="1" applyAlignment="1" applyProtection="1">
      <alignment horizontal="center"/>
      <protection locked="0"/>
    </xf>
    <xf numFmtId="0" fontId="0" fillId="6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8" fillId="0" borderId="12" xfId="0" applyFont="1" applyBorder="1" applyAlignment="1" applyProtection="1">
      <alignment horizontal="center"/>
      <protection locked="0"/>
    </xf>
    <xf numFmtId="4" fontId="7" fillId="6" borderId="27" xfId="0" applyNumberFormat="1" applyFont="1" applyFill="1" applyBorder="1" applyAlignment="1" applyProtection="1">
      <alignment horizontal="center"/>
      <protection hidden="1"/>
    </xf>
    <xf numFmtId="4" fontId="7" fillId="6" borderId="16" xfId="1" applyNumberFormat="1" applyFont="1" applyFill="1" applyBorder="1" applyAlignment="1" applyProtection="1">
      <alignment horizontal="center"/>
      <protection hidden="1"/>
    </xf>
    <xf numFmtId="4" fontId="7" fillId="6" borderId="27" xfId="1" applyNumberFormat="1" applyFont="1" applyFill="1" applyBorder="1" applyAlignment="1" applyProtection="1">
      <alignment horizontal="center"/>
      <protection hidden="1"/>
    </xf>
    <xf numFmtId="4" fontId="7" fillId="6" borderId="8" xfId="0" applyNumberFormat="1" applyFont="1" applyFill="1" applyBorder="1" applyAlignment="1" applyProtection="1">
      <alignment horizontal="center"/>
      <protection hidden="1"/>
    </xf>
    <xf numFmtId="173" fontId="0" fillId="0" borderId="8" xfId="1" applyNumberFormat="1" applyFont="1" applyBorder="1" applyAlignment="1" applyProtection="1">
      <alignment horizontal="center"/>
      <protection locked="0"/>
    </xf>
    <xf numFmtId="39" fontId="0" fillId="0" borderId="8" xfId="1" applyNumberFormat="1" applyFont="1" applyBorder="1" applyAlignment="1" applyProtection="1">
      <alignment horizontal="center"/>
      <protection locked="0"/>
    </xf>
    <xf numFmtId="39" fontId="0" fillId="6" borderId="8" xfId="1" applyNumberFormat="1" applyFont="1" applyFill="1" applyBorder="1" applyAlignment="1" applyProtection="1">
      <alignment horizontal="center"/>
      <protection locked="0"/>
    </xf>
    <xf numFmtId="0" fontId="7" fillId="6" borderId="27" xfId="0" applyFont="1" applyFill="1" applyBorder="1" applyAlignment="1" applyProtection="1">
      <alignment horizontal="right"/>
      <protection hidden="1"/>
    </xf>
    <xf numFmtId="165" fontId="7" fillId="6" borderId="16" xfId="1" applyFont="1" applyFill="1" applyBorder="1" applyAlignment="1" applyProtection="1">
      <protection hidden="1"/>
    </xf>
    <xf numFmtId="39" fontId="7" fillId="6" borderId="16" xfId="1" applyNumberFormat="1" applyFont="1" applyFill="1" applyBorder="1" applyAlignment="1" applyProtection="1">
      <alignment horizontal="center"/>
      <protection hidden="1"/>
    </xf>
    <xf numFmtId="165" fontId="7" fillId="6" borderId="27" xfId="1" applyFont="1" applyFill="1" applyBorder="1" applyAlignment="1" applyProtection="1">
      <protection hidden="1"/>
    </xf>
    <xf numFmtId="39" fontId="7" fillId="6" borderId="8" xfId="1" applyNumberFormat="1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165" fontId="0" fillId="2" borderId="0" xfId="1" applyFont="1" applyFill="1" applyProtection="1">
      <protection hidden="1"/>
    </xf>
    <xf numFmtId="0" fontId="7" fillId="2" borderId="28" xfId="0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/>
    <xf numFmtId="0" fontId="8" fillId="2" borderId="26" xfId="0" applyFont="1" applyFill="1" applyBorder="1"/>
    <xf numFmtId="169" fontId="8" fillId="2" borderId="26" xfId="0" applyNumberFormat="1" applyFont="1" applyFill="1" applyBorder="1" applyProtection="1">
      <protection hidden="1"/>
    </xf>
    <xf numFmtId="165" fontId="8" fillId="2" borderId="26" xfId="1" applyFon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protection locked="0"/>
    </xf>
    <xf numFmtId="165" fontId="0" fillId="2" borderId="0" xfId="1" applyFont="1" applyFill="1" applyBorder="1" applyProtection="1">
      <protection locked="0"/>
    </xf>
    <xf numFmtId="0" fontId="0" fillId="2" borderId="28" xfId="0" applyFill="1" applyBorder="1"/>
    <xf numFmtId="0" fontId="0" fillId="2" borderId="0" xfId="0" applyFill="1" applyBorder="1" applyAlignment="1" applyProtection="1">
      <alignment horizontal="right"/>
      <protection hidden="1"/>
    </xf>
    <xf numFmtId="0" fontId="7" fillId="2" borderId="0" xfId="0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Border="1" applyAlignment="1" applyProtection="1">
      <alignment horizontal="right"/>
      <protection hidden="1"/>
    </xf>
    <xf numFmtId="165" fontId="7" fillId="2" borderId="0" xfId="1" applyFont="1" applyFill="1" applyBorder="1" applyProtection="1">
      <protection hidden="1"/>
    </xf>
    <xf numFmtId="165" fontId="7" fillId="2" borderId="8" xfId="1" applyFont="1" applyFill="1" applyBorder="1" applyAlignment="1" applyProtection="1">
      <alignment horizontal="center"/>
      <protection hidden="1"/>
    </xf>
    <xf numFmtId="0" fontId="3" fillId="2" borderId="0" xfId="0" applyFont="1" applyFill="1"/>
    <xf numFmtId="0" fontId="3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ont="1" applyFill="1" applyBorder="1" applyAlignment="1"/>
    <xf numFmtId="4" fontId="0" fillId="4" borderId="50" xfId="0" applyNumberFormat="1" applyFill="1" applyBorder="1" applyAlignment="1" applyProtection="1">
      <alignment horizontal="center"/>
    </xf>
    <xf numFmtId="0" fontId="20" fillId="6" borderId="26" xfId="3" applyFont="1" applyFill="1" applyBorder="1" applyAlignment="1" applyProtection="1">
      <alignment vertical="center"/>
    </xf>
    <xf numFmtId="0" fontId="20" fillId="6" borderId="0" xfId="3" applyFont="1" applyFill="1" applyBorder="1" applyAlignment="1" applyProtection="1">
      <alignment vertical="center"/>
    </xf>
    <xf numFmtId="0" fontId="20" fillId="6" borderId="56" xfId="3" applyFont="1" applyFill="1" applyBorder="1" applyAlignment="1" applyProtection="1">
      <alignment vertical="center"/>
    </xf>
    <xf numFmtId="0" fontId="20" fillId="4" borderId="26" xfId="3" applyFont="1" applyFill="1" applyBorder="1" applyAlignment="1" applyProtection="1">
      <alignment vertical="center"/>
    </xf>
    <xf numFmtId="2" fontId="21" fillId="4" borderId="56" xfId="3" applyNumberFormat="1" applyFont="1" applyFill="1" applyBorder="1" applyAlignment="1" applyProtection="1">
      <alignment horizontal="center" vertical="center"/>
    </xf>
    <xf numFmtId="0" fontId="21" fillId="4" borderId="26" xfId="3" applyFont="1" applyFill="1" applyBorder="1" applyAlignment="1" applyProtection="1">
      <alignment horizontal="left" vertical="center"/>
    </xf>
    <xf numFmtId="4" fontId="20" fillId="4" borderId="56" xfId="3" applyNumberFormat="1" applyFont="1" applyFill="1" applyBorder="1" applyAlignment="1" applyProtection="1">
      <alignment vertical="center"/>
      <protection locked="0"/>
    </xf>
    <xf numFmtId="0" fontId="0" fillId="4" borderId="26" xfId="0" applyFill="1" applyBorder="1"/>
    <xf numFmtId="0" fontId="0" fillId="4" borderId="56" xfId="0" applyFill="1" applyBorder="1" applyAlignment="1">
      <alignment horizontal="center"/>
    </xf>
    <xf numFmtId="0" fontId="21" fillId="4" borderId="26" xfId="3" applyFont="1" applyFill="1" applyBorder="1" applyAlignment="1" applyProtection="1">
      <alignment vertical="center"/>
    </xf>
    <xf numFmtId="0" fontId="20" fillId="4" borderId="56" xfId="3" applyFont="1" applyFill="1" applyBorder="1" applyAlignment="1" applyProtection="1">
      <alignment vertical="center"/>
    </xf>
    <xf numFmtId="0" fontId="21" fillId="6" borderId="8" xfId="3" applyFont="1" applyFill="1" applyBorder="1" applyAlignment="1" applyProtection="1">
      <alignment horizontal="center" vertical="center"/>
    </xf>
    <xf numFmtId="10" fontId="21" fillId="3" borderId="56" xfId="3" applyNumberFormat="1" applyFont="1" applyFill="1" applyBorder="1" applyAlignment="1" applyProtection="1">
      <alignment horizontal="center" vertical="center"/>
      <protection locked="0"/>
    </xf>
    <xf numFmtId="0" fontId="20" fillId="6" borderId="24" xfId="3" applyFont="1" applyFill="1" applyBorder="1" applyAlignment="1" applyProtection="1">
      <alignment vertical="center"/>
    </xf>
    <xf numFmtId="0" fontId="21" fillId="6" borderId="24" xfId="3" applyFont="1" applyFill="1" applyBorder="1" applyAlignment="1" applyProtection="1">
      <alignment horizontal="left" vertical="center"/>
    </xf>
    <xf numFmtId="2" fontId="21" fillId="6" borderId="24" xfId="3" applyNumberFormat="1" applyFont="1" applyFill="1" applyBorder="1" applyAlignment="1" applyProtection="1">
      <alignment horizontal="right" vertical="center"/>
    </xf>
    <xf numFmtId="174" fontId="20" fillId="4" borderId="56" xfId="3" applyNumberFormat="1" applyFont="1" applyFill="1" applyBorder="1" applyAlignment="1" applyProtection="1">
      <alignment horizontal="center" vertical="center"/>
    </xf>
    <xf numFmtId="0" fontId="20" fillId="5" borderId="24" xfId="3" applyFont="1" applyFill="1" applyBorder="1" applyAlignment="1" applyProtection="1">
      <alignment horizontal="center" vertical="center"/>
      <protection locked="0"/>
    </xf>
    <xf numFmtId="2" fontId="20" fillId="6" borderId="24" xfId="3" applyNumberFormat="1" applyFont="1" applyFill="1" applyBorder="1" applyAlignment="1" applyProtection="1">
      <alignment horizontal="center" vertical="center"/>
    </xf>
    <xf numFmtId="2" fontId="20" fillId="6" borderId="24" xfId="3" applyNumberFormat="1" applyFont="1" applyFill="1" applyBorder="1" applyAlignment="1" applyProtection="1">
      <alignment vertical="center"/>
    </xf>
    <xf numFmtId="2" fontId="20" fillId="4" borderId="26" xfId="3" applyNumberFormat="1" applyFont="1" applyFill="1" applyBorder="1" applyAlignment="1" applyProtection="1">
      <alignment vertical="center"/>
    </xf>
    <xf numFmtId="2" fontId="20" fillId="4" borderId="56" xfId="3" applyNumberFormat="1" applyFont="1" applyFill="1" applyBorder="1" applyAlignment="1" applyProtection="1">
      <alignment horizontal="center" vertical="center"/>
    </xf>
    <xf numFmtId="0" fontId="20" fillId="5" borderId="17" xfId="3" applyFont="1" applyFill="1" applyBorder="1" applyAlignment="1" applyProtection="1">
      <alignment horizontal="center" vertical="center"/>
      <protection locked="0"/>
    </xf>
    <xf numFmtId="0" fontId="20" fillId="6" borderId="17" xfId="3" applyFont="1" applyFill="1" applyBorder="1" applyAlignment="1" applyProtection="1">
      <alignment vertical="center"/>
    </xf>
    <xf numFmtId="2" fontId="20" fillId="6" borderId="17" xfId="3" applyNumberFormat="1" applyFont="1" applyFill="1" applyBorder="1" applyAlignment="1" applyProtection="1">
      <alignment horizontal="center" vertical="center"/>
    </xf>
    <xf numFmtId="2" fontId="20" fillId="3" borderId="56" xfId="3" applyNumberFormat="1" applyFont="1" applyFill="1" applyBorder="1" applyAlignment="1" applyProtection="1">
      <alignment horizontal="center" vertical="center"/>
      <protection locked="0"/>
    </xf>
    <xf numFmtId="0" fontId="21" fillId="6" borderId="17" xfId="3" applyFont="1" applyFill="1" applyBorder="1" applyAlignment="1" applyProtection="1">
      <alignment horizontal="left" vertical="center"/>
    </xf>
    <xf numFmtId="2" fontId="20" fillId="6" borderId="8" xfId="3" applyNumberFormat="1" applyFont="1" applyFill="1" applyBorder="1" applyAlignment="1" applyProtection="1">
      <alignment vertical="center"/>
    </xf>
    <xf numFmtId="2" fontId="21" fillId="6" borderId="8" xfId="3" applyNumberFormat="1" applyFont="1" applyFill="1" applyBorder="1" applyAlignment="1" applyProtection="1">
      <alignment horizontal="center" vertical="center"/>
    </xf>
    <xf numFmtId="2" fontId="21" fillId="6" borderId="16" xfId="3" applyNumberFormat="1" applyFont="1" applyFill="1" applyBorder="1" applyAlignment="1" applyProtection="1">
      <alignment vertical="center"/>
    </xf>
    <xf numFmtId="2" fontId="21" fillId="4" borderId="26" xfId="3" applyNumberFormat="1" applyFont="1" applyFill="1" applyBorder="1" applyAlignment="1" applyProtection="1">
      <alignment vertical="center"/>
    </xf>
    <xf numFmtId="0" fontId="20" fillId="6" borderId="21" xfId="3" applyFont="1" applyFill="1" applyBorder="1" applyAlignment="1" applyProtection="1">
      <alignment vertical="center"/>
    </xf>
    <xf numFmtId="0" fontId="20" fillId="6" borderId="28" xfId="3" applyFont="1" applyFill="1" applyBorder="1" applyAlignment="1" applyProtection="1">
      <alignment vertical="center"/>
    </xf>
    <xf numFmtId="2" fontId="21" fillId="6" borderId="28" xfId="3" applyNumberFormat="1" applyFont="1" applyFill="1" applyBorder="1" applyAlignment="1" applyProtection="1">
      <alignment horizontal="center" vertical="center"/>
    </xf>
    <xf numFmtId="2" fontId="21" fillId="6" borderId="28" xfId="3" applyNumberFormat="1" applyFont="1" applyFill="1" applyBorder="1" applyAlignment="1" applyProtection="1">
      <alignment vertical="center"/>
    </xf>
    <xf numFmtId="0" fontId="20" fillId="6" borderId="57" xfId="3" applyFont="1" applyFill="1" applyBorder="1" applyAlignment="1" applyProtection="1">
      <alignment vertical="center"/>
    </xf>
    <xf numFmtId="2" fontId="21" fillId="4" borderId="57" xfId="3" applyNumberFormat="1" applyFont="1" applyFill="1" applyBorder="1" applyAlignment="1" applyProtection="1">
      <alignment horizontal="center" vertical="center"/>
    </xf>
    <xf numFmtId="2" fontId="21" fillId="4" borderId="21" xfId="3" applyNumberFormat="1" applyFont="1" applyFill="1" applyBorder="1" applyAlignment="1" applyProtection="1">
      <alignment vertical="center"/>
    </xf>
    <xf numFmtId="0" fontId="20" fillId="4" borderId="57" xfId="3" applyFont="1" applyFill="1" applyBorder="1" applyAlignment="1" applyProtection="1">
      <alignment vertical="center"/>
    </xf>
    <xf numFmtId="0" fontId="17" fillId="9" borderId="25" xfId="0" applyFont="1" applyFill="1" applyBorder="1"/>
    <xf numFmtId="0" fontId="17" fillId="9" borderId="55" xfId="0" applyFont="1" applyFill="1" applyBorder="1"/>
    <xf numFmtId="0" fontId="17" fillId="9" borderId="54" xfId="0" applyFont="1" applyFill="1" applyBorder="1"/>
    <xf numFmtId="0" fontId="17" fillId="0" borderId="0" xfId="0" applyFont="1" applyFill="1"/>
    <xf numFmtId="0" fontId="0" fillId="0" borderId="21" xfId="0" applyBorder="1" applyProtection="1">
      <protection locked="0"/>
    </xf>
    <xf numFmtId="0" fontId="0" fillId="4" borderId="28" xfId="0" applyNumberFormat="1" applyFill="1" applyBorder="1" applyAlignment="1">
      <alignment horizontal="center"/>
    </xf>
    <xf numFmtId="2" fontId="0" fillId="4" borderId="57" xfId="0" applyNumberFormat="1" applyFill="1" applyBorder="1" applyAlignment="1">
      <alignment horizontal="right" indent="3"/>
    </xf>
    <xf numFmtId="0" fontId="0" fillId="0" borderId="0" xfId="0" applyNumberFormat="1"/>
    <xf numFmtId="0" fontId="4" fillId="2" borderId="8" xfId="0" applyFont="1" applyFill="1" applyBorder="1" applyAlignment="1">
      <alignment horizontal="center"/>
    </xf>
    <xf numFmtId="0" fontId="0" fillId="2" borderId="43" xfId="0" applyFill="1" applyBorder="1"/>
    <xf numFmtId="0" fontId="0" fillId="2" borderId="8" xfId="0" applyFill="1" applyBorder="1" applyAlignment="1"/>
    <xf numFmtId="0" fontId="4" fillId="2" borderId="8" xfId="0" applyFont="1" applyFill="1" applyBorder="1" applyAlignment="1"/>
    <xf numFmtId="0" fontId="0" fillId="2" borderId="16" xfId="0" applyFill="1" applyBorder="1"/>
    <xf numFmtId="0" fontId="0" fillId="2" borderId="24" xfId="0" applyFill="1" applyBorder="1" applyAlignment="1"/>
    <xf numFmtId="0" fontId="0" fillId="2" borderId="27" xfId="0" applyFill="1" applyBorder="1"/>
    <xf numFmtId="0" fontId="7" fillId="6" borderId="19" xfId="0" applyFont="1" applyFill="1" applyBorder="1" applyAlignment="1" applyProtection="1">
      <alignment horizontal="center"/>
      <protection hidden="1"/>
    </xf>
    <xf numFmtId="167" fontId="0" fillId="2" borderId="0" xfId="0" applyNumberFormat="1" applyFill="1"/>
    <xf numFmtId="0" fontId="0" fillId="5" borderId="0" xfId="0" applyFill="1" applyBorder="1" applyAlignment="1" applyProtection="1">
      <alignment horizontal="center"/>
      <protection locked="0"/>
    </xf>
    <xf numFmtId="165" fontId="7" fillId="6" borderId="27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>
      <alignment horizontal="center"/>
    </xf>
    <xf numFmtId="165" fontId="7" fillId="6" borderId="19" xfId="1" applyFont="1" applyFill="1" applyBorder="1" applyAlignment="1" applyProtection="1">
      <alignment horizontal="center"/>
      <protection hidden="1"/>
    </xf>
    <xf numFmtId="0" fontId="7" fillId="6" borderId="27" xfId="0" applyFont="1" applyFill="1" applyBorder="1"/>
    <xf numFmtId="0" fontId="7" fillId="6" borderId="16" xfId="0" applyFont="1" applyFill="1" applyBorder="1"/>
    <xf numFmtId="165" fontId="0" fillId="5" borderId="26" xfId="1" applyFont="1" applyFill="1" applyBorder="1" applyAlignment="1" applyProtection="1">
      <protection locked="0"/>
    </xf>
    <xf numFmtId="0" fontId="0" fillId="6" borderId="16" xfId="0" applyFill="1" applyBorder="1"/>
    <xf numFmtId="164" fontId="0" fillId="2" borderId="0" xfId="4" applyFont="1" applyFill="1"/>
    <xf numFmtId="164" fontId="4" fillId="2" borderId="11" xfId="4" applyFont="1" applyFill="1" applyBorder="1" applyAlignment="1">
      <alignment horizontal="center"/>
    </xf>
    <xf numFmtId="164" fontId="0" fillId="2" borderId="11" xfId="4" applyFont="1" applyFill="1" applyBorder="1"/>
    <xf numFmtId="164" fontId="0" fillId="2" borderId="36" xfId="4" applyFont="1" applyFill="1" applyBorder="1"/>
    <xf numFmtId="164" fontId="0" fillId="2" borderId="30" xfId="4" applyFont="1" applyFill="1" applyBorder="1"/>
    <xf numFmtId="164" fontId="0" fillId="2" borderId="39" xfId="4" applyFont="1" applyFill="1" applyBorder="1"/>
    <xf numFmtId="164" fontId="0" fillId="2" borderId="41" xfId="4" applyFont="1" applyFill="1" applyBorder="1"/>
    <xf numFmtId="164" fontId="4" fillId="2" borderId="39" xfId="4" applyFont="1" applyFill="1" applyBorder="1" applyAlignment="1">
      <alignment horizontal="center"/>
    </xf>
    <xf numFmtId="164" fontId="4" fillId="2" borderId="9" xfId="4" applyFont="1" applyFill="1" applyBorder="1" applyAlignment="1">
      <alignment horizontal="center"/>
    </xf>
    <xf numFmtId="164" fontId="0" fillId="2" borderId="36" xfId="4" quotePrefix="1" applyFont="1" applyFill="1" applyBorder="1" applyAlignment="1">
      <alignment horizontal="right"/>
    </xf>
    <xf numFmtId="164" fontId="4" fillId="2" borderId="34" xfId="4" applyFont="1" applyFill="1" applyBorder="1" applyAlignment="1">
      <alignment horizontal="center"/>
    </xf>
    <xf numFmtId="164" fontId="0" fillId="2" borderId="59" xfId="4" applyFont="1" applyFill="1" applyBorder="1"/>
    <xf numFmtId="164" fontId="0" fillId="2" borderId="58" xfId="4" applyFont="1" applyFill="1" applyBorder="1"/>
    <xf numFmtId="164" fontId="0" fillId="2" borderId="0" xfId="4" applyFont="1" applyFill="1" applyBorder="1"/>
    <xf numFmtId="164" fontId="4" fillId="2" borderId="12" xfId="4" applyFont="1" applyFill="1" applyBorder="1" applyAlignment="1">
      <alignment horizontal="center"/>
    </xf>
    <xf numFmtId="164" fontId="0" fillId="2" borderId="38" xfId="4" applyFont="1" applyFill="1" applyBorder="1"/>
    <xf numFmtId="164" fontId="0" fillId="2" borderId="40" xfId="4" applyFont="1" applyFill="1" applyBorder="1"/>
    <xf numFmtId="164" fontId="4" fillId="2" borderId="38" xfId="4" applyFont="1" applyFill="1" applyBorder="1" applyAlignment="1">
      <alignment horizontal="center"/>
    </xf>
    <xf numFmtId="164" fontId="4" fillId="2" borderId="8" xfId="4" applyFont="1" applyFill="1" applyBorder="1" applyAlignment="1">
      <alignment horizontal="center"/>
    </xf>
    <xf numFmtId="164" fontId="4" fillId="2" borderId="33" xfId="4" applyFont="1" applyFill="1" applyBorder="1" applyAlignment="1">
      <alignment horizontal="center"/>
    </xf>
    <xf numFmtId="164" fontId="0" fillId="2" borderId="32" xfId="4" applyFont="1" applyFill="1" applyBorder="1"/>
    <xf numFmtId="0" fontId="7" fillId="4" borderId="0" xfId="0" applyFont="1" applyFill="1" applyBorder="1" applyAlignment="1" applyProtection="1"/>
    <xf numFmtId="0" fontId="0" fillId="4" borderId="0" xfId="0" applyFill="1" applyProtection="1"/>
    <xf numFmtId="0" fontId="7" fillId="4" borderId="3" xfId="0" applyFont="1" applyFill="1" applyBorder="1" applyAlignment="1" applyProtection="1"/>
    <xf numFmtId="0" fontId="7" fillId="2" borderId="4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18" xfId="0" applyFont="1" applyFill="1" applyBorder="1" applyAlignment="1" applyProtection="1">
      <alignment horizontal="center"/>
    </xf>
    <xf numFmtId="0" fontId="7" fillId="2" borderId="49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0" fillId="2" borderId="0" xfId="0" applyFill="1" applyProtection="1"/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Protection="1"/>
    <xf numFmtId="0" fontId="0" fillId="4" borderId="19" xfId="0" applyFill="1" applyBorder="1" applyAlignment="1" applyProtection="1">
      <alignment horizontal="center"/>
    </xf>
    <xf numFmtId="4" fontId="0" fillId="4" borderId="9" xfId="0" applyNumberFormat="1" applyFill="1" applyBorder="1" applyAlignment="1" applyProtection="1">
      <alignment horizontal="center"/>
    </xf>
    <xf numFmtId="9" fontId="0" fillId="4" borderId="50" xfId="2" applyFont="1" applyFill="1" applyBorder="1" applyAlignment="1" applyProtection="1">
      <alignment horizontal="center"/>
    </xf>
    <xf numFmtId="166" fontId="0" fillId="4" borderId="50" xfId="0" applyNumberFormat="1" applyFill="1" applyBorder="1" applyAlignment="1" applyProtection="1">
      <alignment horizontal="center"/>
    </xf>
    <xf numFmtId="166" fontId="0" fillId="4" borderId="9" xfId="0" applyNumberFormat="1" applyFill="1" applyBorder="1" applyAlignment="1" applyProtection="1">
      <alignment horizontal="center"/>
    </xf>
    <xf numFmtId="167" fontId="0" fillId="4" borderId="50" xfId="0" applyNumberFormat="1" applyFill="1" applyBorder="1" applyAlignment="1" applyProtection="1">
      <alignment horizontal="center"/>
    </xf>
    <xf numFmtId="0" fontId="0" fillId="4" borderId="25" xfId="0" applyFill="1" applyBorder="1" applyAlignment="1" applyProtection="1">
      <alignment horizontal="center"/>
    </xf>
    <xf numFmtId="0" fontId="0" fillId="4" borderId="12" xfId="0" applyFill="1" applyBorder="1" applyProtection="1"/>
    <xf numFmtId="4" fontId="0" fillId="4" borderId="51" xfId="0" applyNumberFormat="1" applyFill="1" applyBorder="1" applyAlignment="1" applyProtection="1">
      <alignment horizontal="center"/>
    </xf>
    <xf numFmtId="4" fontId="0" fillId="4" borderId="11" xfId="0" applyNumberFormat="1" applyFill="1" applyBorder="1" applyAlignment="1" applyProtection="1">
      <alignment horizontal="center"/>
    </xf>
    <xf numFmtId="3" fontId="0" fillId="4" borderId="51" xfId="0" applyNumberFormat="1" applyFill="1" applyBorder="1" applyAlignment="1" applyProtection="1">
      <alignment horizontal="center"/>
    </xf>
    <xf numFmtId="3" fontId="0" fillId="4" borderId="11" xfId="0" applyNumberFormat="1" applyFill="1" applyBorder="1" applyAlignment="1" applyProtection="1">
      <alignment horizontal="center"/>
    </xf>
    <xf numFmtId="0" fontId="0" fillId="4" borderId="14" xfId="0" applyFill="1" applyBorder="1" applyProtection="1"/>
    <xf numFmtId="0" fontId="0" fillId="4" borderId="20" xfId="0" applyFill="1" applyBorder="1" applyAlignment="1" applyProtection="1">
      <alignment horizontal="center"/>
    </xf>
    <xf numFmtId="2" fontId="0" fillId="4" borderId="52" xfId="0" applyNumberFormat="1" applyFill="1" applyBorder="1" applyAlignment="1" applyProtection="1">
      <alignment horizontal="center"/>
    </xf>
    <xf numFmtId="2" fontId="0" fillId="4" borderId="15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ont="1" applyFill="1" applyBorder="1" applyProtection="1"/>
    <xf numFmtId="0" fontId="8" fillId="4" borderId="0" xfId="0" applyFont="1" applyFill="1" applyBorder="1" applyAlignment="1" applyProtection="1">
      <alignment horizontal="center"/>
    </xf>
    <xf numFmtId="2" fontId="0" fillId="4" borderId="0" xfId="0" applyNumberForma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12" fillId="4" borderId="0" xfId="0" applyFont="1" applyFill="1" applyBorder="1" applyAlignment="1" applyProtection="1">
      <alignment vertical="center"/>
    </xf>
    <xf numFmtId="0" fontId="12" fillId="4" borderId="3" xfId="0" applyFont="1" applyFill="1" applyBorder="1" applyAlignment="1" applyProtection="1">
      <alignment vertical="center"/>
    </xf>
    <xf numFmtId="0" fontId="7" fillId="2" borderId="21" xfId="0" applyFont="1" applyFill="1" applyBorder="1" applyAlignment="1" applyProtection="1">
      <alignment horizontal="center"/>
    </xf>
    <xf numFmtId="0" fontId="7" fillId="2" borderId="17" xfId="0" applyFont="1" applyFill="1" applyBorder="1" applyAlignment="1" applyProtection="1">
      <alignment horizontal="center"/>
    </xf>
    <xf numFmtId="0" fontId="7" fillId="2" borderId="53" xfId="0" applyFont="1" applyFill="1" applyBorder="1" applyAlignment="1" applyProtection="1">
      <alignment horizontal="center"/>
    </xf>
    <xf numFmtId="0" fontId="7" fillId="2" borderId="23" xfId="0" applyFont="1" applyFill="1" applyBorder="1" applyAlignment="1" applyProtection="1">
      <alignment horizontal="center"/>
    </xf>
    <xf numFmtId="0" fontId="0" fillId="4" borderId="8" xfId="0" applyFont="1" applyFill="1" applyBorder="1" applyProtection="1"/>
    <xf numFmtId="0" fontId="4" fillId="2" borderId="8" xfId="0" applyFont="1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4" fontId="0" fillId="2" borderId="50" xfId="0" applyNumberFormat="1" applyFill="1" applyBorder="1" applyAlignment="1" applyProtection="1">
      <alignment horizontal="center"/>
    </xf>
    <xf numFmtId="4" fontId="0" fillId="2" borderId="9" xfId="0" applyNumberForma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left"/>
    </xf>
    <xf numFmtId="167" fontId="0" fillId="2" borderId="50" xfId="0" applyNumberFormat="1" applyFill="1" applyBorder="1" applyAlignment="1" applyProtection="1">
      <alignment horizontal="center"/>
    </xf>
    <xf numFmtId="167" fontId="0" fillId="2" borderId="9" xfId="0" applyNumberFormat="1" applyFill="1" applyBorder="1" applyAlignment="1" applyProtection="1">
      <alignment horizontal="center"/>
    </xf>
    <xf numFmtId="0" fontId="0" fillId="4" borderId="14" xfId="0" applyFont="1" applyFill="1" applyBorder="1" applyProtection="1"/>
    <xf numFmtId="0" fontId="8" fillId="4" borderId="20" xfId="0" applyFont="1" applyFill="1" applyBorder="1" applyAlignment="1" applyProtection="1">
      <alignment horizontal="center"/>
    </xf>
    <xf numFmtId="0" fontId="0" fillId="3" borderId="0" xfId="0" applyFill="1" applyProtection="1">
      <protection locked="0"/>
    </xf>
    <xf numFmtId="0" fontId="0" fillId="5" borderId="8" xfId="0" quotePrefix="1" applyFill="1" applyBorder="1" applyAlignment="1" applyProtection="1">
      <alignment horizontal="left"/>
      <protection locked="0"/>
    </xf>
    <xf numFmtId="0" fontId="8" fillId="5" borderId="8" xfId="0" applyFont="1" applyFill="1" applyBorder="1" applyAlignment="1" applyProtection="1">
      <alignment horizontal="left"/>
      <protection locked="0"/>
    </xf>
    <xf numFmtId="0" fontId="0" fillId="5" borderId="12" xfId="0" applyFill="1" applyBorder="1" applyProtection="1">
      <protection locked="0"/>
    </xf>
    <xf numFmtId="0" fontId="8" fillId="5" borderId="12" xfId="0" applyFont="1" applyFill="1" applyBorder="1" applyProtection="1">
      <protection locked="0"/>
    </xf>
    <xf numFmtId="0" fontId="0" fillId="5" borderId="0" xfId="0" applyFill="1" applyProtection="1">
      <protection locked="0"/>
    </xf>
    <xf numFmtId="167" fontId="0" fillId="5" borderId="0" xfId="0" applyNumberFormat="1" applyFill="1" applyAlignment="1" applyProtection="1">
      <alignment horizontal="center"/>
      <protection locked="0"/>
    </xf>
    <xf numFmtId="3" fontId="0" fillId="5" borderId="0" xfId="0" applyNumberFormat="1" applyFill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left"/>
      <protection locked="0"/>
    </xf>
    <xf numFmtId="0" fontId="8" fillId="5" borderId="0" xfId="0" applyFon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0" fillId="5" borderId="24" xfId="0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16" xfId="0" applyFill="1" applyBorder="1" applyProtection="1">
      <protection locked="0"/>
    </xf>
    <xf numFmtId="170" fontId="8" fillId="0" borderId="0" xfId="0" applyNumberFormat="1" applyFont="1" applyFill="1" applyProtection="1">
      <protection locked="0"/>
    </xf>
    <xf numFmtId="165" fontId="0" fillId="5" borderId="16" xfId="1" applyNumberFormat="1" applyFont="1" applyFill="1" applyBorder="1" applyAlignment="1" applyProtection="1">
      <alignment horizontal="right"/>
      <protection locked="0"/>
    </xf>
    <xf numFmtId="0" fontId="0" fillId="5" borderId="27" xfId="0" applyFill="1" applyBorder="1" applyProtection="1">
      <protection locked="0"/>
    </xf>
    <xf numFmtId="0" fontId="0" fillId="5" borderId="56" xfId="0" applyFill="1" applyBorder="1" applyAlignment="1" applyProtection="1">
      <alignment horizontal="center"/>
      <protection locked="0"/>
    </xf>
    <xf numFmtId="3" fontId="0" fillId="0" borderId="8" xfId="1" applyNumberFormat="1" applyFont="1" applyBorder="1" applyAlignment="1" applyProtection="1">
      <alignment horizontal="center"/>
      <protection locked="0"/>
    </xf>
    <xf numFmtId="0" fontId="0" fillId="3" borderId="35" xfId="0" applyFill="1" applyBorder="1" applyProtection="1">
      <protection locked="0"/>
    </xf>
    <xf numFmtId="164" fontId="0" fillId="3" borderId="12" xfId="4" applyFont="1" applyFill="1" applyBorder="1" applyProtection="1">
      <protection locked="0"/>
    </xf>
    <xf numFmtId="0" fontId="0" fillId="3" borderId="1" xfId="0" applyFill="1" applyBorder="1" applyProtection="1">
      <protection locked="0"/>
    </xf>
    <xf numFmtId="164" fontId="0" fillId="3" borderId="24" xfId="4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164" fontId="0" fillId="3" borderId="13" xfId="4" applyFont="1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42" xfId="0" applyFill="1" applyBorder="1" applyProtection="1">
      <protection locked="0"/>
    </xf>
    <xf numFmtId="0" fontId="4" fillId="3" borderId="42" xfId="0" quotePrefix="1" applyFont="1" applyFill="1" applyBorder="1" applyAlignment="1" applyProtection="1">
      <alignment horizontal="center"/>
      <protection locked="0"/>
    </xf>
    <xf numFmtId="164" fontId="4" fillId="3" borderId="24" xfId="4" quotePrefix="1" applyFont="1" applyFill="1" applyBorder="1" applyAlignment="1" applyProtection="1">
      <alignment horizontal="center"/>
      <protection locked="0"/>
    </xf>
    <xf numFmtId="0" fontId="0" fillId="3" borderId="37" xfId="0" applyFill="1" applyBorder="1" applyProtection="1">
      <protection locked="0"/>
    </xf>
    <xf numFmtId="164" fontId="0" fillId="3" borderId="38" xfId="4" applyFont="1" applyFill="1" applyBorder="1" applyProtection="1">
      <protection locked="0"/>
    </xf>
    <xf numFmtId="0" fontId="0" fillId="3" borderId="29" xfId="0" applyFill="1" applyBorder="1" applyProtection="1">
      <protection locked="0"/>
    </xf>
    <xf numFmtId="1" fontId="8" fillId="3" borderId="8" xfId="1" applyNumberFormat="1" applyFont="1" applyFill="1" applyBorder="1" applyAlignment="1" applyProtection="1">
      <alignment horizontal="center"/>
      <protection locked="0"/>
    </xf>
    <xf numFmtId="0" fontId="0" fillId="3" borderId="24" xfId="0" applyFill="1" applyBorder="1" applyAlignment="1" applyProtection="1">
      <protection locked="0"/>
    </xf>
    <xf numFmtId="0" fontId="0" fillId="3" borderId="56" xfId="0" applyFill="1" applyBorder="1" applyProtection="1">
      <protection locked="0"/>
    </xf>
    <xf numFmtId="0" fontId="3" fillId="3" borderId="24" xfId="0" applyFont="1" applyFill="1" applyBorder="1" applyProtection="1">
      <protection locked="0"/>
    </xf>
    <xf numFmtId="0" fontId="0" fillId="3" borderId="56" xfId="0" applyFill="1" applyBorder="1" applyAlignment="1" applyProtection="1">
      <protection locked="0"/>
    </xf>
    <xf numFmtId="0" fontId="4" fillId="3" borderId="24" xfId="0" applyFont="1" applyFill="1" applyBorder="1" applyAlignment="1" applyProtection="1">
      <protection locked="0"/>
    </xf>
    <xf numFmtId="0" fontId="0" fillId="3" borderId="17" xfId="0" applyFill="1" applyBorder="1" applyProtection="1">
      <protection locked="0"/>
    </xf>
    <xf numFmtId="0" fontId="0" fillId="3" borderId="17" xfId="0" applyFill="1" applyBorder="1" applyAlignment="1" applyProtection="1">
      <protection locked="0"/>
    </xf>
    <xf numFmtId="0" fontId="0" fillId="3" borderId="57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0" fillId="3" borderId="30" xfId="0" applyFill="1" applyBorder="1" applyProtection="1">
      <protection locked="0"/>
    </xf>
    <xf numFmtId="164" fontId="2" fillId="3" borderId="24" xfId="4" quotePrefix="1" applyFont="1" applyFill="1" applyBorder="1" applyAlignment="1" applyProtection="1">
      <alignment horizontal="center"/>
      <protection locked="0"/>
    </xf>
    <xf numFmtId="174" fontId="0" fillId="4" borderId="50" xfId="0" applyNumberFormat="1" applyFill="1" applyBorder="1" applyAlignment="1" applyProtection="1">
      <alignment horizontal="center"/>
    </xf>
    <xf numFmtId="10" fontId="0" fillId="4" borderId="50" xfId="2" applyNumberFormat="1" applyFont="1" applyFill="1" applyBorder="1" applyAlignment="1" applyProtection="1">
      <alignment horizontal="center"/>
    </xf>
    <xf numFmtId="0" fontId="3" fillId="4" borderId="8" xfId="0" applyFont="1" applyFill="1" applyBorder="1" applyProtection="1"/>
    <xf numFmtId="0" fontId="3" fillId="2" borderId="24" xfId="0" applyFont="1" applyFill="1" applyBorder="1"/>
    <xf numFmtId="0" fontId="4" fillId="2" borderId="22" xfId="0" applyFont="1" applyFill="1" applyBorder="1" applyAlignment="1">
      <alignment horizontal="center"/>
    </xf>
    <xf numFmtId="164" fontId="4" fillId="2" borderId="17" xfId="4" applyFont="1" applyFill="1" applyBorder="1" applyAlignment="1">
      <alignment horizontal="center"/>
    </xf>
    <xf numFmtId="164" fontId="4" fillId="2" borderId="23" xfId="4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60" xfId="0" applyFont="1" applyFill="1" applyBorder="1" applyAlignment="1">
      <alignment horizontal="right"/>
    </xf>
    <xf numFmtId="0" fontId="0" fillId="2" borderId="29" xfId="0" applyFill="1" applyBorder="1" applyProtection="1">
      <protection locked="0"/>
    </xf>
    <xf numFmtId="164" fontId="0" fillId="2" borderId="13" xfId="4" applyFont="1" applyFill="1" applyBorder="1" applyProtection="1">
      <protection locked="0"/>
    </xf>
    <xf numFmtId="0" fontId="0" fillId="2" borderId="21" xfId="0" applyFill="1" applyBorder="1"/>
    <xf numFmtId="0" fontId="0" fillId="3" borderId="22" xfId="0" applyFill="1" applyBorder="1" applyProtection="1">
      <protection locked="0"/>
    </xf>
    <xf numFmtId="164" fontId="0" fillId="3" borderId="17" xfId="4" applyFont="1" applyFill="1" applyBorder="1" applyProtection="1">
      <protection locked="0"/>
    </xf>
    <xf numFmtId="164" fontId="0" fillId="2" borderId="23" xfId="4" applyFont="1" applyFill="1" applyBorder="1"/>
    <xf numFmtId="0" fontId="0" fillId="2" borderId="61" xfId="0" applyFill="1" applyBorder="1"/>
    <xf numFmtId="0" fontId="0" fillId="3" borderId="61" xfId="0" applyFill="1" applyBorder="1" applyProtection="1">
      <protection locked="0"/>
    </xf>
    <xf numFmtId="0" fontId="4" fillId="2" borderId="52" xfId="0" applyFont="1" applyFill="1" applyBorder="1" applyAlignment="1">
      <alignment horizontal="right"/>
    </xf>
    <xf numFmtId="0" fontId="0" fillId="2" borderId="62" xfId="0" applyFill="1" applyBorder="1" applyProtection="1">
      <protection locked="0"/>
    </xf>
    <xf numFmtId="164" fontId="0" fillId="2" borderId="14" xfId="4" applyFont="1" applyFill="1" applyBorder="1" applyProtection="1">
      <protection locked="0"/>
    </xf>
    <xf numFmtId="164" fontId="0" fillId="2" borderId="15" xfId="4" applyFont="1" applyFill="1" applyBorder="1"/>
    <xf numFmtId="0" fontId="0" fillId="4" borderId="50" xfId="0" applyFill="1" applyBorder="1" applyAlignment="1" applyProtection="1">
      <alignment horizontal="center"/>
    </xf>
    <xf numFmtId="3" fontId="0" fillId="4" borderId="50" xfId="0" applyNumberFormat="1" applyFill="1" applyBorder="1" applyAlignment="1" applyProtection="1">
      <alignment horizontal="center"/>
    </xf>
    <xf numFmtId="166" fontId="7" fillId="2" borderId="17" xfId="0" applyNumberFormat="1" applyFont="1" applyFill="1" applyBorder="1" applyAlignment="1" applyProtection="1">
      <alignment horizontal="center"/>
      <protection locked="0"/>
    </xf>
    <xf numFmtId="0" fontId="22" fillId="4" borderId="8" xfId="0" applyFont="1" applyFill="1" applyBorder="1" applyProtection="1"/>
    <xf numFmtId="0" fontId="22" fillId="4" borderId="19" xfId="0" applyFont="1" applyFill="1" applyBorder="1" applyAlignment="1" applyProtection="1">
      <alignment horizontal="center"/>
    </xf>
    <xf numFmtId="4" fontId="22" fillId="4" borderId="50" xfId="0" applyNumberFormat="1" applyFont="1" applyFill="1" applyBorder="1" applyAlignment="1" applyProtection="1">
      <alignment horizontal="center"/>
    </xf>
    <xf numFmtId="0" fontId="22" fillId="4" borderId="0" xfId="0" applyFont="1" applyFill="1" applyProtection="1"/>
    <xf numFmtId="4" fontId="22" fillId="4" borderId="9" xfId="0" applyNumberFormat="1" applyFont="1" applyFill="1" applyBorder="1" applyAlignment="1" applyProtection="1">
      <alignment horizontal="center"/>
    </xf>
    <xf numFmtId="0" fontId="22" fillId="4" borderId="25" xfId="0" applyFont="1" applyFill="1" applyBorder="1" applyAlignment="1" applyProtection="1">
      <alignment horizontal="center"/>
    </xf>
    <xf numFmtId="0" fontId="22" fillId="4" borderId="12" xfId="0" applyFont="1" applyFill="1" applyBorder="1" applyProtection="1"/>
    <xf numFmtId="0" fontId="8" fillId="4" borderId="25" xfId="0" applyFont="1" applyFill="1" applyBorder="1" applyAlignment="1" applyProtection="1">
      <alignment horizontal="center"/>
    </xf>
    <xf numFmtId="0" fontId="0" fillId="3" borderId="42" xfId="0" quotePrefix="1" applyFont="1" applyFill="1" applyBorder="1" applyAlignment="1" applyProtection="1">
      <alignment horizontal="right"/>
      <protection locked="0"/>
    </xf>
    <xf numFmtId="0" fontId="7" fillId="2" borderId="63" xfId="0" applyFont="1" applyFill="1" applyBorder="1" applyAlignment="1" applyProtection="1">
      <alignment horizontal="center"/>
    </xf>
    <xf numFmtId="4" fontId="0" fillId="4" borderId="64" xfId="0" applyNumberFormat="1" applyFill="1" applyBorder="1" applyAlignment="1" applyProtection="1">
      <alignment horizontal="center"/>
    </xf>
    <xf numFmtId="9" fontId="0" fillId="4" borderId="64" xfId="2" applyFont="1" applyFill="1" applyBorder="1" applyAlignment="1" applyProtection="1">
      <alignment horizontal="center"/>
    </xf>
    <xf numFmtId="166" fontId="0" fillId="4" borderId="64" xfId="0" applyNumberFormat="1" applyFill="1" applyBorder="1" applyAlignment="1" applyProtection="1">
      <alignment horizontal="center"/>
    </xf>
    <xf numFmtId="174" fontId="0" fillId="4" borderId="64" xfId="0" applyNumberFormat="1" applyFill="1" applyBorder="1" applyAlignment="1" applyProtection="1">
      <alignment horizontal="center"/>
    </xf>
    <xf numFmtId="167" fontId="0" fillId="4" borderId="64" xfId="0" applyNumberFormat="1" applyFill="1" applyBorder="1" applyAlignment="1" applyProtection="1">
      <alignment horizontal="center"/>
    </xf>
    <xf numFmtId="10" fontId="0" fillId="4" borderId="64" xfId="2" applyNumberFormat="1" applyFont="1" applyFill="1" applyBorder="1" applyAlignment="1" applyProtection="1">
      <alignment horizontal="center"/>
    </xf>
    <xf numFmtId="4" fontId="22" fillId="4" borderId="64" xfId="0" applyNumberFormat="1" applyFont="1" applyFill="1" applyBorder="1" applyAlignment="1" applyProtection="1">
      <alignment horizontal="center"/>
    </xf>
    <xf numFmtId="4" fontId="0" fillId="4" borderId="35" xfId="0" applyNumberFormat="1" applyFill="1" applyBorder="1" applyAlignment="1" applyProtection="1">
      <alignment horizontal="center"/>
    </xf>
    <xf numFmtId="3" fontId="0" fillId="4" borderId="35" xfId="0" applyNumberFormat="1" applyFill="1" applyBorder="1" applyAlignment="1" applyProtection="1">
      <alignment horizontal="center"/>
    </xf>
    <xf numFmtId="2" fontId="0" fillId="4" borderId="65" xfId="0" applyNumberFormat="1" applyFill="1" applyBorder="1" applyAlignment="1" applyProtection="1">
      <alignment horizontal="center"/>
    </xf>
    <xf numFmtId="4" fontId="0" fillId="4" borderId="0" xfId="0" applyNumberFormat="1" applyFill="1" applyBorder="1" applyAlignment="1" applyProtection="1">
      <alignment horizontal="center"/>
    </xf>
    <xf numFmtId="9" fontId="0" fillId="4" borderId="0" xfId="2" applyFont="1" applyFill="1" applyBorder="1" applyAlignment="1" applyProtection="1">
      <alignment horizontal="center"/>
    </xf>
    <xf numFmtId="166" fontId="0" fillId="4" borderId="0" xfId="0" applyNumberFormat="1" applyFill="1" applyBorder="1" applyAlignment="1" applyProtection="1">
      <alignment horizontal="center"/>
    </xf>
    <xf numFmtId="174" fontId="0" fillId="4" borderId="0" xfId="0" applyNumberFormat="1" applyFill="1" applyBorder="1" applyAlignment="1" applyProtection="1">
      <alignment horizontal="center"/>
    </xf>
    <xf numFmtId="167" fontId="0" fillId="4" borderId="0" xfId="0" applyNumberFormat="1" applyFill="1" applyBorder="1" applyAlignment="1" applyProtection="1">
      <alignment horizontal="center"/>
    </xf>
    <xf numFmtId="10" fontId="0" fillId="4" borderId="0" xfId="2" applyNumberFormat="1" applyFont="1" applyFill="1" applyBorder="1" applyAlignment="1" applyProtection="1">
      <alignment horizontal="center"/>
    </xf>
    <xf numFmtId="4" fontId="22" fillId="4" borderId="0" xfId="0" applyNumberFormat="1" applyFont="1" applyFill="1" applyBorder="1" applyAlignment="1" applyProtection="1">
      <alignment horizontal="center"/>
    </xf>
    <xf numFmtId="3" fontId="0" fillId="4" borderId="0" xfId="0" applyNumberFormat="1" applyFill="1" applyBorder="1" applyAlignment="1" applyProtection="1">
      <alignment horizontal="center"/>
    </xf>
    <xf numFmtId="4" fontId="0" fillId="4" borderId="26" xfId="0" applyNumberFormat="1" applyFill="1" applyBorder="1" applyAlignment="1" applyProtection="1">
      <alignment horizontal="center"/>
    </xf>
    <xf numFmtId="9" fontId="0" fillId="4" borderId="26" xfId="2" applyFont="1" applyFill="1" applyBorder="1" applyAlignment="1" applyProtection="1">
      <alignment horizontal="center"/>
    </xf>
    <xf numFmtId="166" fontId="0" fillId="4" borderId="26" xfId="0" applyNumberFormat="1" applyFill="1" applyBorder="1" applyAlignment="1" applyProtection="1">
      <alignment horizontal="center"/>
    </xf>
    <xf numFmtId="174" fontId="0" fillId="4" borderId="26" xfId="0" applyNumberFormat="1" applyFill="1" applyBorder="1" applyAlignment="1" applyProtection="1">
      <alignment horizontal="center"/>
    </xf>
    <xf numFmtId="167" fontId="0" fillId="4" borderId="26" xfId="0" applyNumberFormat="1" applyFill="1" applyBorder="1" applyAlignment="1" applyProtection="1">
      <alignment horizontal="center"/>
    </xf>
    <xf numFmtId="10" fontId="0" fillId="4" borderId="26" xfId="2" applyNumberFormat="1" applyFont="1" applyFill="1" applyBorder="1" applyAlignment="1" applyProtection="1">
      <alignment horizontal="center"/>
    </xf>
    <xf numFmtId="4" fontId="22" fillId="4" borderId="26" xfId="0" applyNumberFormat="1" applyFont="1" applyFill="1" applyBorder="1" applyAlignment="1" applyProtection="1">
      <alignment horizontal="center"/>
    </xf>
    <xf numFmtId="3" fontId="0" fillId="4" borderId="26" xfId="0" applyNumberFormat="1" applyFill="1" applyBorder="1" applyAlignment="1" applyProtection="1">
      <alignment horizontal="center"/>
    </xf>
    <xf numFmtId="2" fontId="0" fillId="4" borderId="26" xfId="0" applyNumberFormat="1" applyFill="1" applyBorder="1" applyAlignment="1" applyProtection="1">
      <alignment horizontal="center"/>
    </xf>
    <xf numFmtId="0" fontId="7" fillId="4" borderId="26" xfId="0" applyFont="1" applyFill="1" applyBorder="1" applyAlignment="1" applyProtection="1">
      <alignment horizontal="center"/>
    </xf>
    <xf numFmtId="0" fontId="7" fillId="4" borderId="0" xfId="0" applyFont="1" applyFill="1" applyBorder="1" applyAlignment="1" applyProtection="1">
      <alignment horizontal="center"/>
    </xf>
    <xf numFmtId="0" fontId="7" fillId="2" borderId="61" xfId="0" applyFont="1" applyFill="1" applyBorder="1" applyAlignment="1" applyProtection="1">
      <alignment horizontal="center"/>
    </xf>
    <xf numFmtId="167" fontId="0" fillId="2" borderId="64" xfId="0" applyNumberFormat="1" applyFill="1" applyBorder="1" applyAlignment="1" applyProtection="1">
      <alignment horizontal="center"/>
    </xf>
    <xf numFmtId="167" fontId="0" fillId="2" borderId="0" xfId="0" applyNumberFormat="1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center"/>
    </xf>
    <xf numFmtId="167" fontId="0" fillId="2" borderId="26" xfId="0" applyNumberFormat="1" applyFill="1" applyBorder="1" applyAlignment="1" applyProtection="1">
      <alignment horizontal="center"/>
    </xf>
    <xf numFmtId="175" fontId="0" fillId="4" borderId="64" xfId="2" applyNumberFormat="1" applyFont="1" applyFill="1" applyBorder="1" applyAlignment="1" applyProtection="1">
      <alignment horizontal="center"/>
    </xf>
    <xf numFmtId="0" fontId="0" fillId="0" borderId="0" xfId="0" applyBorder="1"/>
    <xf numFmtId="2" fontId="0" fillId="4" borderId="64" xfId="0" applyNumberFormat="1" applyFill="1" applyBorder="1" applyAlignment="1" applyProtection="1">
      <alignment horizontal="center"/>
    </xf>
    <xf numFmtId="0" fontId="25" fillId="4" borderId="21" xfId="3" applyFont="1" applyFill="1" applyBorder="1" applyAlignment="1" applyProtection="1">
      <alignment vertical="center"/>
    </xf>
    <xf numFmtId="0" fontId="24" fillId="0" borderId="66" xfId="0" applyFont="1" applyBorder="1" applyAlignment="1">
      <alignment horizontal="center" wrapText="1" readingOrder="1"/>
    </xf>
    <xf numFmtId="8" fontId="24" fillId="0" borderId="0" xfId="0" applyNumberFormat="1" applyFont="1" applyAlignment="1">
      <alignment horizontal="center" wrapText="1" readingOrder="1"/>
    </xf>
    <xf numFmtId="17" fontId="0" fillId="0" borderId="0" xfId="0" applyNumberFormat="1"/>
    <xf numFmtId="43" fontId="0" fillId="2" borderId="0" xfId="0" applyNumberFormat="1" applyFill="1"/>
    <xf numFmtId="0" fontId="0" fillId="5" borderId="25" xfId="0" applyFill="1" applyBorder="1" applyAlignment="1" applyProtection="1">
      <alignment horizontal="left"/>
      <protection locked="0"/>
    </xf>
    <xf numFmtId="165" fontId="8" fillId="0" borderId="8" xfId="1" applyFont="1" applyBorder="1" applyProtection="1">
      <protection locked="0"/>
    </xf>
    <xf numFmtId="165" fontId="8" fillId="0" borderId="0" xfId="1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9" fontId="7" fillId="0" borderId="0" xfId="1" applyNumberFormat="1" applyFont="1" applyFill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4" borderId="8" xfId="0" applyFill="1" applyBorder="1" applyAlignment="1" applyProtection="1">
      <alignment horizontal="center"/>
      <protection hidden="1"/>
    </xf>
    <xf numFmtId="0" fontId="0" fillId="4" borderId="8" xfId="0" applyFill="1" applyBorder="1" applyProtection="1">
      <protection hidden="1"/>
    </xf>
    <xf numFmtId="165" fontId="8" fillId="4" borderId="8" xfId="1" applyFont="1" applyFill="1" applyBorder="1" applyAlignment="1" applyProtection="1">
      <alignment horizontal="center"/>
      <protection hidden="1"/>
    </xf>
    <xf numFmtId="165" fontId="8" fillId="4" borderId="8" xfId="1" applyFont="1" applyFill="1" applyBorder="1" applyProtection="1">
      <protection hidden="1"/>
    </xf>
    <xf numFmtId="0" fontId="7" fillId="4" borderId="0" xfId="0" applyFont="1" applyFill="1" applyProtection="1">
      <protection hidden="1"/>
    </xf>
    <xf numFmtId="165" fontId="7" fillId="4" borderId="0" xfId="1" applyFont="1" applyFill="1" applyAlignment="1" applyProtection="1">
      <alignment horizontal="right"/>
      <protection hidden="1"/>
    </xf>
    <xf numFmtId="165" fontId="7" fillId="2" borderId="0" xfId="1" applyFont="1" applyFill="1" applyAlignment="1" applyProtection="1">
      <alignment horizontal="right"/>
      <protection hidden="1"/>
    </xf>
    <xf numFmtId="0" fontId="0" fillId="4" borderId="8" xfId="0" applyFont="1" applyFill="1" applyBorder="1"/>
    <xf numFmtId="2" fontId="0" fillId="4" borderId="8" xfId="0" applyNumberFormat="1" applyFont="1" applyFill="1" applyBorder="1"/>
    <xf numFmtId="2" fontId="0" fillId="4" borderId="8" xfId="0" applyNumberFormat="1" applyFont="1" applyFill="1" applyBorder="1" applyAlignment="1">
      <alignment horizontal="center"/>
    </xf>
    <xf numFmtId="165" fontId="0" fillId="4" borderId="8" xfId="1" applyFont="1" applyFill="1" applyBorder="1"/>
    <xf numFmtId="168" fontId="0" fillId="4" borderId="8" xfId="1" applyNumberFormat="1" applyFont="1" applyFill="1" applyBorder="1"/>
    <xf numFmtId="0" fontId="0" fillId="4" borderId="9" xfId="0" applyFill="1" applyBorder="1"/>
    <xf numFmtId="0" fontId="0" fillId="4" borderId="50" xfId="0" applyFill="1" applyBorder="1"/>
    <xf numFmtId="0" fontId="10" fillId="4" borderId="50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165" fontId="8" fillId="2" borderId="0" xfId="1" applyFont="1" applyFill="1" applyProtection="1">
      <protection hidden="1"/>
    </xf>
    <xf numFmtId="0" fontId="0" fillId="4" borderId="12" xfId="0" applyFill="1" applyBorder="1"/>
    <xf numFmtId="169" fontId="0" fillId="4" borderId="56" xfId="0" applyNumberFormat="1" applyFill="1" applyBorder="1"/>
    <xf numFmtId="0" fontId="0" fillId="4" borderId="24" xfId="0" applyFill="1" applyBorder="1"/>
    <xf numFmtId="167" fontId="0" fillId="4" borderId="56" xfId="0" applyNumberFormat="1" applyFill="1" applyBorder="1"/>
    <xf numFmtId="171" fontId="0" fillId="4" borderId="56" xfId="0" applyNumberFormat="1" applyFill="1" applyBorder="1"/>
    <xf numFmtId="4" fontId="0" fillId="4" borderId="56" xfId="0" applyNumberFormat="1" applyFill="1" applyBorder="1"/>
    <xf numFmtId="39" fontId="0" fillId="4" borderId="56" xfId="0" applyNumberFormat="1" applyFill="1" applyBorder="1"/>
    <xf numFmtId="0" fontId="0" fillId="4" borderId="17" xfId="0" applyFill="1" applyBorder="1"/>
    <xf numFmtId="0" fontId="0" fillId="4" borderId="56" xfId="0" applyFill="1" applyBorder="1"/>
    <xf numFmtId="0" fontId="4" fillId="4" borderId="19" xfId="0" applyFont="1" applyFill="1" applyBorder="1" applyAlignment="1">
      <alignment horizontal="right"/>
    </xf>
    <xf numFmtId="167" fontId="4" fillId="4" borderId="8" xfId="0" applyNumberFormat="1" applyFont="1" applyFill="1" applyBorder="1"/>
    <xf numFmtId="164" fontId="0" fillId="4" borderId="24" xfId="4" applyFont="1" applyFill="1" applyBorder="1"/>
    <xf numFmtId="0" fontId="4" fillId="4" borderId="19" xfId="0" applyFont="1" applyFill="1" applyBorder="1"/>
    <xf numFmtId="164" fontId="4" fillId="4" borderId="8" xfId="4" applyFont="1" applyFill="1" applyBorder="1"/>
    <xf numFmtId="4" fontId="0" fillId="4" borderId="8" xfId="0" applyNumberFormat="1" applyFill="1" applyBorder="1" applyAlignment="1" applyProtection="1">
      <alignment horizontal="center"/>
      <protection hidden="1"/>
    </xf>
    <xf numFmtId="0" fontId="26" fillId="4" borderId="12" xfId="0" applyFont="1" applyFill="1" applyBorder="1"/>
    <xf numFmtId="0" fontId="4" fillId="4" borderId="17" xfId="0" applyFont="1" applyFill="1" applyBorder="1"/>
    <xf numFmtId="164" fontId="4" fillId="4" borderId="17" xfId="4" applyFont="1" applyFill="1" applyBorder="1"/>
    <xf numFmtId="0" fontId="26" fillId="4" borderId="17" xfId="0" applyFont="1" applyFill="1" applyBorder="1"/>
    <xf numFmtId="164" fontId="26" fillId="4" borderId="17" xfId="4" applyFon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26" fillId="3" borderId="12" xfId="2" applyFont="1" applyFill="1" applyBorder="1" applyAlignment="1" applyProtection="1">
      <alignment horizontal="center"/>
      <protection locked="0"/>
    </xf>
    <xf numFmtId="9" fontId="0" fillId="3" borderId="12" xfId="2" applyFont="1" applyFill="1" applyBorder="1" applyAlignment="1" applyProtection="1">
      <alignment horizontal="center"/>
      <protection locked="0"/>
    </xf>
    <xf numFmtId="164" fontId="0" fillId="3" borderId="12" xfId="4" applyFont="1" applyFill="1" applyBorder="1"/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0" fillId="10" borderId="0" xfId="0" applyFill="1"/>
    <xf numFmtId="0" fontId="4" fillId="10" borderId="0" xfId="0" applyFont="1" applyFill="1" applyBorder="1"/>
    <xf numFmtId="0" fontId="4" fillId="10" borderId="0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Border="1"/>
    <xf numFmtId="0" fontId="4" fillId="4" borderId="0" xfId="0" applyFont="1" applyFill="1" applyBorder="1" applyAlignment="1">
      <alignment horizontal="center"/>
    </xf>
    <xf numFmtId="0" fontId="0" fillId="0" borderId="0" xfId="0" applyFill="1"/>
    <xf numFmtId="0" fontId="28" fillId="5" borderId="25" xfId="0" applyFont="1" applyFill="1" applyBorder="1" applyAlignment="1" applyProtection="1">
      <alignment horizontal="left"/>
      <protection locked="0"/>
    </xf>
    <xf numFmtId="3" fontId="0" fillId="0" borderId="8" xfId="1" applyNumberFormat="1" applyFont="1" applyBorder="1" applyAlignment="1" applyProtection="1">
      <alignment horizontal="center"/>
      <protection hidden="1"/>
    </xf>
    <xf numFmtId="1" fontId="0" fillId="0" borderId="8" xfId="1" applyNumberFormat="1" applyFont="1" applyBorder="1" applyAlignment="1" applyProtection="1">
      <alignment horizontal="center"/>
      <protection hidden="1"/>
    </xf>
    <xf numFmtId="44" fontId="0" fillId="2" borderId="0" xfId="0" applyNumberFormat="1" applyFill="1"/>
    <xf numFmtId="0" fontId="32" fillId="2" borderId="0" xfId="0" applyFont="1" applyFill="1" applyAlignment="1">
      <alignment horizontal="center"/>
    </xf>
    <xf numFmtId="0" fontId="32" fillId="2" borderId="0" xfId="5" applyFont="1" applyFill="1" applyAlignment="1">
      <alignment horizontal="center"/>
    </xf>
    <xf numFmtId="0" fontId="33" fillId="2" borderId="0" xfId="0" applyFont="1" applyFill="1" applyProtection="1">
      <protection hidden="1"/>
    </xf>
    <xf numFmtId="0" fontId="34" fillId="2" borderId="0" xfId="0" applyFont="1" applyFill="1"/>
    <xf numFmtId="0" fontId="35" fillId="2" borderId="0" xfId="0" applyFont="1" applyFill="1"/>
    <xf numFmtId="0" fontId="7" fillId="2" borderId="8" xfId="0" applyFont="1" applyFill="1" applyBorder="1" applyAlignment="1" applyProtection="1">
      <alignment horizontal="center"/>
    </xf>
    <xf numFmtId="0" fontId="7" fillId="2" borderId="7" xfId="0" applyFont="1" applyFill="1" applyBorder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0" fillId="4" borderId="62" xfId="0" applyFill="1" applyBorder="1" applyAlignment="1" applyProtection="1">
      <alignment horizontal="center"/>
    </xf>
    <xf numFmtId="0" fontId="7" fillId="2" borderId="10" xfId="0" applyFont="1" applyFill="1" applyBorder="1" applyAlignment="1" applyProtection="1">
      <alignment horizontal="center"/>
    </xf>
    <xf numFmtId="0" fontId="4" fillId="2" borderId="17" xfId="0" applyFont="1" applyFill="1" applyBorder="1" applyAlignment="1" applyProtection="1">
      <alignment horizontal="center"/>
    </xf>
    <xf numFmtId="0" fontId="0" fillId="4" borderId="16" xfId="0" applyFill="1" applyBorder="1" applyAlignment="1" applyProtection="1">
      <alignment horizontal="left"/>
    </xf>
    <xf numFmtId="0" fontId="0" fillId="4" borderId="8" xfId="0" applyFill="1" applyBorder="1" applyAlignment="1" applyProtection="1">
      <alignment horizontal="center"/>
    </xf>
    <xf numFmtId="0" fontId="15" fillId="4" borderId="0" xfId="0" quotePrefix="1" applyFont="1" applyFill="1" applyBorder="1" applyAlignment="1" applyProtection="1">
      <alignment vertical="center"/>
    </xf>
    <xf numFmtId="0" fontId="15" fillId="4" borderId="3" xfId="0" quotePrefix="1" applyFont="1" applyFill="1" applyBorder="1" applyAlignment="1" applyProtection="1">
      <alignment vertical="center"/>
    </xf>
    <xf numFmtId="166" fontId="7" fillId="2" borderId="17" xfId="0" applyNumberFormat="1" applyFont="1" applyFill="1" applyBorder="1" applyAlignment="1" applyProtection="1">
      <alignment horizontal="center"/>
    </xf>
    <xf numFmtId="0" fontId="0" fillId="4" borderId="0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13" fillId="2" borderId="0" xfId="0" applyFont="1" applyFill="1" applyAlignment="1">
      <alignment horizontal="left"/>
    </xf>
    <xf numFmtId="0" fontId="7" fillId="6" borderId="21" xfId="0" applyFont="1" applyFill="1" applyBorder="1" applyAlignment="1" applyProtection="1">
      <alignment horizontal="center"/>
      <protection hidden="1"/>
    </xf>
    <xf numFmtId="0" fontId="0" fillId="6" borderId="16" xfId="0" applyFill="1" applyBorder="1" applyAlignment="1"/>
    <xf numFmtId="0" fontId="7" fillId="6" borderId="19" xfId="0" applyFont="1" applyFill="1" applyBorder="1" applyAlignment="1" applyProtection="1">
      <alignment horizontal="center"/>
      <protection hidden="1"/>
    </xf>
    <xf numFmtId="0" fontId="0" fillId="6" borderId="19" xfId="0" applyFill="1" applyBorder="1" applyAlignment="1" applyProtection="1">
      <alignment horizontal="center"/>
      <protection hidden="1"/>
    </xf>
    <xf numFmtId="0" fontId="0" fillId="6" borderId="16" xfId="0" applyFill="1" applyBorder="1" applyAlignment="1" applyProtection="1">
      <alignment horizontal="center"/>
      <protection hidden="1"/>
    </xf>
    <xf numFmtId="0" fontId="0" fillId="4" borderId="1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7" fillId="6" borderId="27" xfId="0" applyFont="1" applyFill="1" applyBorder="1" applyAlignment="1" applyProtection="1">
      <alignment horizontal="center"/>
      <protection hidden="1"/>
    </xf>
    <xf numFmtId="166" fontId="7" fillId="6" borderId="19" xfId="0" applyNumberFormat="1" applyFont="1" applyFill="1" applyBorder="1" applyAlignment="1" applyProtection="1">
      <alignment horizontal="center"/>
      <protection hidden="1"/>
    </xf>
    <xf numFmtId="166" fontId="8" fillId="0" borderId="16" xfId="0" applyNumberFormat="1" applyFont="1" applyBorder="1" applyAlignment="1">
      <alignment horizontal="center"/>
    </xf>
    <xf numFmtId="1" fontId="7" fillId="6" borderId="19" xfId="0" applyNumberFormat="1" applyFont="1" applyFill="1" applyBorder="1" applyAlignment="1" applyProtection="1">
      <alignment horizontal="center"/>
      <protection hidden="1"/>
    </xf>
    <xf numFmtId="1" fontId="8" fillId="0" borderId="27" xfId="0" applyNumberFormat="1" applyFont="1" applyBorder="1" applyAlignment="1">
      <alignment horizontal="center"/>
    </xf>
    <xf numFmtId="165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16" xfId="0" applyFont="1" applyBorder="1" applyAlignment="1"/>
    <xf numFmtId="169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27" xfId="0" applyFont="1" applyBorder="1" applyAlignment="1"/>
    <xf numFmtId="0" fontId="8" fillId="6" borderId="27" xfId="0" applyFont="1" applyFill="1" applyBorder="1" applyAlignment="1"/>
    <xf numFmtId="165" fontId="7" fillId="2" borderId="28" xfId="1" applyFont="1" applyFill="1" applyBorder="1" applyAlignment="1" applyProtection="1">
      <alignment horizontal="center"/>
      <protection hidden="1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7" fillId="2" borderId="8" xfId="0" applyFont="1" applyFill="1" applyBorder="1" applyAlignment="1" applyProtection="1">
      <alignment horizontal="center"/>
      <protection hidden="1"/>
    </xf>
    <xf numFmtId="0" fontId="7" fillId="2" borderId="8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3" fillId="2" borderId="28" xfId="0" applyFont="1" applyFill="1" applyBorder="1" applyAlignment="1">
      <alignment horizontal="center" vertical="center"/>
    </xf>
    <xf numFmtId="0" fontId="15" fillId="4" borderId="1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5" fillId="4" borderId="2" xfId="0" applyFont="1" applyFill="1" applyBorder="1" applyAlignment="1" applyProtection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</xf>
    <xf numFmtId="0" fontId="15" fillId="4" borderId="0" xfId="0" quotePrefix="1" applyFont="1" applyFill="1" applyBorder="1" applyAlignment="1" applyProtection="1">
      <alignment horizontal="center" vertical="center"/>
    </xf>
    <xf numFmtId="0" fontId="21" fillId="6" borderId="25" xfId="3" applyFont="1" applyFill="1" applyBorder="1" applyAlignment="1" applyProtection="1">
      <alignment horizontal="left" vertical="center"/>
    </xf>
    <xf numFmtId="0" fontId="21" fillId="6" borderId="55" xfId="3" applyFont="1" applyFill="1" applyBorder="1" applyAlignment="1" applyProtection="1">
      <alignment horizontal="left" vertical="center"/>
    </xf>
    <xf numFmtId="4" fontId="20" fillId="4" borderId="55" xfId="3" applyNumberFormat="1" applyFont="1" applyFill="1" applyBorder="1" applyAlignment="1" applyProtection="1">
      <alignment horizontal="left" vertical="center"/>
      <protection locked="0"/>
    </xf>
    <xf numFmtId="4" fontId="20" fillId="4" borderId="54" xfId="3" applyNumberFormat="1" applyFont="1" applyFill="1" applyBorder="1" applyAlignment="1" applyProtection="1">
      <alignment horizontal="left" vertical="center"/>
      <protection locked="0"/>
    </xf>
    <xf numFmtId="0" fontId="18" fillId="8" borderId="19" xfId="3" applyFont="1" applyFill="1" applyBorder="1" applyAlignment="1" applyProtection="1">
      <alignment horizontal="center" vertical="center"/>
    </xf>
    <xf numFmtId="0" fontId="18" fillId="8" borderId="27" xfId="3" applyFont="1" applyFill="1" applyBorder="1" applyAlignment="1" applyProtection="1">
      <alignment horizontal="center" vertical="center"/>
    </xf>
    <xf numFmtId="0" fontId="18" fillId="8" borderId="16" xfId="3" applyFont="1" applyFill="1" applyBorder="1" applyAlignment="1" applyProtection="1">
      <alignment horizontal="center" vertical="center"/>
    </xf>
    <xf numFmtId="0" fontId="19" fillId="8" borderId="25" xfId="0" applyFont="1" applyFill="1" applyBorder="1" applyAlignment="1">
      <alignment horizontal="center"/>
    </xf>
    <xf numFmtId="0" fontId="19" fillId="8" borderId="54" xfId="0" applyFont="1" applyFill="1" applyBorder="1" applyAlignment="1">
      <alignment horizontal="center"/>
    </xf>
    <xf numFmtId="0" fontId="21" fillId="6" borderId="54" xfId="3" applyFont="1" applyFill="1" applyBorder="1" applyAlignment="1" applyProtection="1">
      <alignment horizontal="left" vertical="center"/>
    </xf>
    <xf numFmtId="4" fontId="20" fillId="5" borderId="55" xfId="3" applyNumberFormat="1" applyFont="1" applyFill="1" applyBorder="1" applyAlignment="1" applyProtection="1">
      <alignment horizontal="left" vertical="center"/>
      <protection locked="0"/>
    </xf>
    <xf numFmtId="4" fontId="20" fillId="5" borderId="54" xfId="3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2" borderId="8" xfId="0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27" fillId="0" borderId="25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7" xfId="0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</cellXfs>
  <cellStyles count="6">
    <cellStyle name="Hiperlink" xfId="5" builtinId="8"/>
    <cellStyle name="Moeda" xfId="4" builtinId="4"/>
    <cellStyle name="Normal" xfId="0" builtinId="0"/>
    <cellStyle name="Normal 2" xfId="3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Produção Mensal de Leite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'INDICADORES ECONÔMICOS MENSAIS'!$E$5:$P$5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'INDICADORES TÉCNICOS MENSAIS'!$D$7:$O$7</c:f>
              <c:numCache>
                <c:formatCode>#,##0</c:formatCode>
                <c:ptCount val="12"/>
                <c:pt idx="0">
                  <c:v>1910</c:v>
                </c:pt>
                <c:pt idx="1">
                  <c:v>2300</c:v>
                </c:pt>
                <c:pt idx="2">
                  <c:v>2356</c:v>
                </c:pt>
                <c:pt idx="3">
                  <c:v>2040</c:v>
                </c:pt>
                <c:pt idx="4">
                  <c:v>1767</c:v>
                </c:pt>
                <c:pt idx="5">
                  <c:v>2224</c:v>
                </c:pt>
                <c:pt idx="6">
                  <c:v>1905</c:v>
                </c:pt>
                <c:pt idx="7">
                  <c:v>1697</c:v>
                </c:pt>
                <c:pt idx="8">
                  <c:v>1544</c:v>
                </c:pt>
                <c:pt idx="9">
                  <c:v>1398</c:v>
                </c:pt>
                <c:pt idx="10">
                  <c:v>2823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D0A-4036-863E-F7CBC4250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381760"/>
        <c:axId val="219795840"/>
      </c:lineChart>
      <c:catAx>
        <c:axId val="15938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9795840"/>
        <c:crosses val="autoZero"/>
        <c:auto val="1"/>
        <c:lblAlgn val="ctr"/>
        <c:lblOffset val="100"/>
        <c:noMultiLvlLbl val="0"/>
      </c:catAx>
      <c:valAx>
        <c:axId val="21979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38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Relação VL/TV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'INDICADORES TÉCNICOS MENSAIS'!$D$5:$O$5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'INDICADORES TÉCNICOS MENSAIS'!$D$18:$O$18</c:f>
              <c:numCache>
                <c:formatCode>0%</c:formatCode>
                <c:ptCount val="12"/>
                <c:pt idx="0">
                  <c:v>0.58333333333333337</c:v>
                </c:pt>
                <c:pt idx="1">
                  <c:v>0.58333333333333337</c:v>
                </c:pt>
                <c:pt idx="2">
                  <c:v>0.58333333333333337</c:v>
                </c:pt>
                <c:pt idx="3">
                  <c:v>0.58333333333333337</c:v>
                </c:pt>
                <c:pt idx="4">
                  <c:v>0.42857142857142855</c:v>
                </c:pt>
                <c:pt idx="5">
                  <c:v>0.66666666666666663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0.55555555555555558</c:v>
                </c:pt>
                <c:pt idx="9">
                  <c:v>0.55555555555555558</c:v>
                </c:pt>
                <c:pt idx="10">
                  <c:v>0.55555555555555558</c:v>
                </c:pt>
                <c:pt idx="11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D85-4D4F-A86E-3BB0474C0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576128"/>
        <c:axId val="230578048"/>
      </c:lineChart>
      <c:catAx>
        <c:axId val="23057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0578048"/>
        <c:crosses val="autoZero"/>
        <c:auto val="1"/>
        <c:lblAlgn val="ctr"/>
        <c:lblOffset val="100"/>
        <c:noMultiLvlLbl val="0"/>
      </c:catAx>
      <c:valAx>
        <c:axId val="23057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057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Renda Bruta e COE</a:t>
            </a:r>
            <a:r>
              <a:rPr lang="pt-BR" baseline="0"/>
              <a:t> do leite</a:t>
            </a: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477901028794758"/>
          <c:y val="0.16650953984287317"/>
          <c:w val="0.84177730520911165"/>
          <c:h val="0.611309242910292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'INDICADORES ECONÔMICOS MENSAIS'!$C$6</c:f>
              <c:strCache>
                <c:ptCount val="1"/>
                <c:pt idx="0">
                  <c:v>Renda bruta do leite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ECONÔMICOS MENSAIS'!$E$5:$P$5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'INDICADORES ECONÔMICOS MENSAIS'!$E$6:$P$6</c:f>
              <c:numCache>
                <c:formatCode>#,##0.00</c:formatCode>
                <c:ptCount val="12"/>
                <c:pt idx="0">
                  <c:v>1934.9989499999999</c:v>
                </c:pt>
                <c:pt idx="1">
                  <c:v>3199.9989999999998</c:v>
                </c:pt>
                <c:pt idx="2">
                  <c:v>2390.999358</c:v>
                </c:pt>
                <c:pt idx="3">
                  <c:v>2074.9949999999999</c:v>
                </c:pt>
                <c:pt idx="4">
                  <c:v>1835.6585520000001</c:v>
                </c:pt>
                <c:pt idx="5">
                  <c:v>2258.9990499999999</c:v>
                </c:pt>
                <c:pt idx="6">
                  <c:v>2015.9985450000001</c:v>
                </c:pt>
                <c:pt idx="7">
                  <c:v>1777.348428</c:v>
                </c:pt>
                <c:pt idx="8">
                  <c:v>1639.1999057999999</c:v>
                </c:pt>
                <c:pt idx="9">
                  <c:v>1485.899772</c:v>
                </c:pt>
                <c:pt idx="10">
                  <c:v>2584.6499781999996</c:v>
                </c:pt>
                <c:pt idx="11">
                  <c:v>2874.8979159999999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86-434B-A2CF-B19CAE432A76}"/>
            </c:ext>
          </c:extLst>
        </c:ser>
        <c:ser>
          <c:idx val="1"/>
          <c:order val="1"/>
          <c:tx>
            <c:strRef>
              <c:f>'INDICADORES ECONÔMICOS MENSAIS'!$C$8</c:f>
              <c:strCache>
                <c:ptCount val="1"/>
                <c:pt idx="0">
                  <c:v>COE do leite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ECONÔMICOS MENSAIS'!$E$5:$P$5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'INDICADORES ECONÔMICOS MENSAIS'!$E$8:$P$8</c:f>
              <c:numCache>
                <c:formatCode>#,##0.00</c:formatCode>
                <c:ptCount val="12"/>
                <c:pt idx="0">
                  <c:v>1238.9764800000003</c:v>
                </c:pt>
                <c:pt idx="1">
                  <c:v>1529.9636</c:v>
                </c:pt>
                <c:pt idx="2">
                  <c:v>1133.92</c:v>
                </c:pt>
                <c:pt idx="3">
                  <c:v>1351.5200000000002</c:v>
                </c:pt>
                <c:pt idx="4">
                  <c:v>1158.4000000000001</c:v>
                </c:pt>
                <c:pt idx="5">
                  <c:v>1817.0174</c:v>
                </c:pt>
                <c:pt idx="6">
                  <c:v>1367.64</c:v>
                </c:pt>
                <c:pt idx="7">
                  <c:v>1318</c:v>
                </c:pt>
                <c:pt idx="8">
                  <c:v>1300.3708344000001</c:v>
                </c:pt>
                <c:pt idx="9">
                  <c:v>18979.392648000001</c:v>
                </c:pt>
                <c:pt idx="10">
                  <c:v>2239.8832367999998</c:v>
                </c:pt>
                <c:pt idx="11">
                  <c:v>2914.4776080000006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686-434B-A2CF-B19CAE432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0628352"/>
        <c:axId val="230634240"/>
      </c:barChart>
      <c:catAx>
        <c:axId val="23062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0634240"/>
        <c:crosses val="autoZero"/>
        <c:auto val="1"/>
        <c:lblAlgn val="ctr"/>
        <c:lblOffset val="100"/>
        <c:noMultiLvlLbl val="0"/>
      </c:catAx>
      <c:valAx>
        <c:axId val="23063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062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108186294231479"/>
          <c:y val="9.1266257637085072E-3"/>
          <c:w val="0.22051554687050981"/>
          <c:h val="0.1347314395676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0</xdr:row>
      <xdr:rowOff>260985</xdr:rowOff>
    </xdr:from>
    <xdr:to>
      <xdr:col>20</xdr:col>
      <xdr:colOff>28575</xdr:colOff>
      <xdr:row>5</xdr:row>
      <xdr:rowOff>85725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0" y="260985"/>
          <a:ext cx="981075" cy="117729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200045</xdr:colOff>
      <xdr:row>0</xdr:row>
      <xdr:rowOff>161925</xdr:rowOff>
    </xdr:from>
    <xdr:to>
      <xdr:col>1</xdr:col>
      <xdr:colOff>399820</xdr:colOff>
      <xdr:row>5</xdr:row>
      <xdr:rowOff>141375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45" y="161925"/>
          <a:ext cx="809375" cy="133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8</xdr:row>
          <xdr:rowOff>123825</xdr:rowOff>
        </xdr:from>
        <xdr:to>
          <xdr:col>6</xdr:col>
          <xdr:colOff>295275</xdr:colOff>
          <xdr:row>11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Perfil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12</xdr:row>
          <xdr:rowOff>95250</xdr:rowOff>
        </xdr:from>
        <xdr:to>
          <xdr:col>6</xdr:col>
          <xdr:colOff>295275</xdr:colOff>
          <xdr:row>15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Inventário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16</xdr:row>
          <xdr:rowOff>85725</xdr:rowOff>
        </xdr:from>
        <xdr:to>
          <xdr:col>6</xdr:col>
          <xdr:colOff>295275</xdr:colOff>
          <xdr:row>19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8</xdr:row>
          <xdr:rowOff>95250</xdr:rowOff>
        </xdr:from>
        <xdr:to>
          <xdr:col>9</xdr:col>
          <xdr:colOff>752475</xdr:colOff>
          <xdr:row>11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16</xdr:row>
          <xdr:rowOff>85725</xdr:rowOff>
        </xdr:from>
        <xdr:to>
          <xdr:col>9</xdr:col>
          <xdr:colOff>752475</xdr:colOff>
          <xdr:row>19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95250</xdr:rowOff>
        </xdr:from>
        <xdr:to>
          <xdr:col>16</xdr:col>
          <xdr:colOff>533400</xdr:colOff>
          <xdr:row>11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Análises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12</xdr:row>
          <xdr:rowOff>95250</xdr:rowOff>
        </xdr:from>
        <xdr:to>
          <xdr:col>9</xdr:col>
          <xdr:colOff>752475</xdr:colOff>
          <xdr:row>15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12</xdr:row>
          <xdr:rowOff>95250</xdr:rowOff>
        </xdr:from>
        <xdr:to>
          <xdr:col>16</xdr:col>
          <xdr:colOff>533400</xdr:colOff>
          <xdr:row>15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16</xdr:row>
          <xdr:rowOff>85725</xdr:rowOff>
        </xdr:from>
        <xdr:to>
          <xdr:col>16</xdr:col>
          <xdr:colOff>533400</xdr:colOff>
          <xdr:row>19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Retorno Mensal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8</xdr:row>
          <xdr:rowOff>95250</xdr:rowOff>
        </xdr:from>
        <xdr:to>
          <xdr:col>13</xdr:col>
          <xdr:colOff>285750</xdr:colOff>
          <xdr:row>11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12</xdr:row>
          <xdr:rowOff>95250</xdr:rowOff>
        </xdr:from>
        <xdr:to>
          <xdr:col>13</xdr:col>
          <xdr:colOff>285750</xdr:colOff>
          <xdr:row>15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16</xdr:row>
          <xdr:rowOff>85725</xdr:rowOff>
        </xdr:from>
        <xdr:to>
          <xdr:col>13</xdr:col>
          <xdr:colOff>285750</xdr:colOff>
          <xdr:row>19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Cálculo de Ração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20</xdr:row>
          <xdr:rowOff>85725</xdr:rowOff>
        </xdr:from>
        <xdr:to>
          <xdr:col>6</xdr:col>
          <xdr:colOff>295275</xdr:colOff>
          <xdr:row>24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Custo de implantação de forrageiras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0</xdr:row>
          <xdr:rowOff>28575</xdr:rowOff>
        </xdr:from>
        <xdr:to>
          <xdr:col>0</xdr:col>
          <xdr:colOff>1133475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0</xdr:col>
          <xdr:colOff>619125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2095500</xdr:colOff>
          <xdr:row>47</xdr:row>
          <xdr:rowOff>28575</xdr:rowOff>
        </xdr:from>
        <xdr:to>
          <xdr:col>8</xdr:col>
          <xdr:colOff>2771775</xdr:colOff>
          <xdr:row>48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0</xdr:row>
          <xdr:rowOff>76200</xdr:rowOff>
        </xdr:from>
        <xdr:to>
          <xdr:col>0</xdr:col>
          <xdr:colOff>1181100</xdr:colOff>
          <xdr:row>1</xdr:row>
          <xdr:rowOff>104775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0</xdr:col>
          <xdr:colOff>571500</xdr:colOff>
          <xdr:row>1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0</xdr:row>
          <xdr:rowOff>19050</xdr:rowOff>
        </xdr:from>
        <xdr:to>
          <xdr:col>0</xdr:col>
          <xdr:colOff>1133475</xdr:colOff>
          <xdr:row>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552450</xdr:colOff>
          <xdr:row>1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0</xdr:row>
          <xdr:rowOff>19050</xdr:rowOff>
        </xdr:from>
        <xdr:to>
          <xdr:col>0</xdr:col>
          <xdr:colOff>1114425</xdr:colOff>
          <xdr:row>1</xdr:row>
          <xdr:rowOff>47625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38100</xdr:rowOff>
        </xdr:from>
        <xdr:to>
          <xdr:col>2</xdr:col>
          <xdr:colOff>581025</xdr:colOff>
          <xdr:row>1</xdr:row>
          <xdr:rowOff>66675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200025</xdr:colOff>
          <xdr:row>1</xdr:row>
          <xdr:rowOff>57150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200025</xdr:colOff>
          <xdr:row>1</xdr:row>
          <xdr:rowOff>57150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200025</xdr:colOff>
          <xdr:row>1</xdr:row>
          <xdr:rowOff>57150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1</xdr:col>
          <xdr:colOff>47625</xdr:colOff>
          <xdr:row>0</xdr:row>
          <xdr:rowOff>238125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561975</xdr:colOff>
          <xdr:row>1</xdr:row>
          <xdr:rowOff>47625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0</xdr:row>
          <xdr:rowOff>19050</xdr:rowOff>
        </xdr:from>
        <xdr:to>
          <xdr:col>0</xdr:col>
          <xdr:colOff>1123950</xdr:colOff>
          <xdr:row>1</xdr:row>
          <xdr:rowOff>47625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561975</xdr:colOff>
          <xdr:row>0</xdr:row>
          <xdr:rowOff>238125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147637</xdr:colOff>
      <xdr:row>1</xdr:row>
      <xdr:rowOff>180975</xdr:rowOff>
    </xdr:from>
    <xdr:to>
      <xdr:col>7</xdr:col>
      <xdr:colOff>452437</xdr:colOff>
      <xdr:row>16</xdr:row>
      <xdr:rowOff>66675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185737</xdr:colOff>
      <xdr:row>1</xdr:row>
      <xdr:rowOff>76200</xdr:rowOff>
    </xdr:from>
    <xdr:to>
      <xdr:col>14</xdr:col>
      <xdr:colOff>404812</xdr:colOff>
      <xdr:row>15</xdr:row>
      <xdr:rowOff>152400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485775</xdr:colOff>
      <xdr:row>1</xdr:row>
      <xdr:rowOff>57149</xdr:rowOff>
    </xdr:from>
    <xdr:to>
      <xdr:col>23</xdr:col>
      <xdr:colOff>219075</xdr:colOff>
      <xdr:row>18</xdr:row>
      <xdr:rowOff>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762000</xdr:colOff>
      <xdr:row>1</xdr:row>
      <xdr:rowOff>28575</xdr:rowOff>
    </xdr:from>
    <xdr:to>
      <xdr:col>0</xdr:col>
      <xdr:colOff>1497965</xdr:colOff>
      <xdr:row>7</xdr:row>
      <xdr:rowOff>0</xdr:rowOff>
    </xdr:to>
    <xdr:pic>
      <xdr:nvPicPr>
        <xdr:cNvPr id="7" name="Imagem 6" descr="C:\Users\Paulo\Pictures\ufrpe.jpg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190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542925</xdr:colOff>
      <xdr:row>1</xdr:row>
      <xdr:rowOff>28575</xdr:rowOff>
    </xdr:from>
    <xdr:to>
      <xdr:col>7</xdr:col>
      <xdr:colOff>485775</xdr:colOff>
      <xdr:row>6</xdr:row>
      <xdr:rowOff>15875</xdr:rowOff>
    </xdr:to>
    <xdr:pic>
      <xdr:nvPicPr>
        <xdr:cNvPr id="8" name="Imagem 7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7525" y="2190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752475</xdr:colOff>
      <xdr:row>1</xdr:row>
      <xdr:rowOff>28575</xdr:rowOff>
    </xdr:from>
    <xdr:to>
      <xdr:col>8</xdr:col>
      <xdr:colOff>1488440</xdr:colOff>
      <xdr:row>7</xdr:row>
      <xdr:rowOff>0</xdr:rowOff>
    </xdr:to>
    <xdr:pic>
      <xdr:nvPicPr>
        <xdr:cNvPr id="12" name="Imagem 11" descr="C:\Users\Paulo\Pictures\ufrpe.jpg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285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533400</xdr:colOff>
      <xdr:row>1</xdr:row>
      <xdr:rowOff>28575</xdr:rowOff>
    </xdr:from>
    <xdr:to>
      <xdr:col>15</xdr:col>
      <xdr:colOff>476250</xdr:colOff>
      <xdr:row>6</xdr:row>
      <xdr:rowOff>15875</xdr:rowOff>
    </xdr:to>
    <xdr:pic>
      <xdr:nvPicPr>
        <xdr:cNvPr id="13" name="Imagem 12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0" y="285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28575</xdr:rowOff>
        </xdr:from>
        <xdr:to>
          <xdr:col>0</xdr:col>
          <xdr:colOff>571500</xdr:colOff>
          <xdr:row>2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1" Type="http://schemas.openxmlformats.org/officeDocument/2006/relationships/hyperlink" Target="mailto:moises.vet@outlook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23"/>
  <sheetViews>
    <sheetView workbookViewId="0">
      <selection activeCell="R26" sqref="R26"/>
    </sheetView>
  </sheetViews>
  <sheetFormatPr defaultColWidth="9.140625" defaultRowHeight="15" x14ac:dyDescent="0.25"/>
  <cols>
    <col min="1" max="8" width="9.140625" style="1"/>
    <col min="9" max="9" width="13.85546875" style="1" bestFit="1" customWidth="1"/>
    <col min="10" max="16384" width="9.140625" style="1"/>
  </cols>
  <sheetData>
    <row r="1" spans="1:20" ht="26.25" x14ac:dyDescent="0.4">
      <c r="A1" s="494" t="s">
        <v>356</v>
      </c>
      <c r="B1" s="494"/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  <c r="O1" s="494"/>
      <c r="P1" s="494"/>
      <c r="Q1" s="494"/>
      <c r="R1" s="494"/>
      <c r="S1" s="494"/>
      <c r="T1" s="494"/>
    </row>
    <row r="2" spans="1:20" ht="26.25" x14ac:dyDescent="0.4">
      <c r="A2" s="494" t="s">
        <v>357</v>
      </c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  <c r="O2" s="494"/>
      <c r="P2" s="494"/>
      <c r="Q2" s="494"/>
      <c r="R2" s="494"/>
      <c r="S2" s="494"/>
      <c r="T2" s="494"/>
    </row>
    <row r="3" spans="1:20" ht="23.25" x14ac:dyDescent="0.35">
      <c r="A3" s="495" t="s">
        <v>470</v>
      </c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  <c r="O3" s="495"/>
      <c r="P3" s="495"/>
      <c r="Q3" s="495"/>
      <c r="R3" s="495"/>
      <c r="S3" s="495"/>
      <c r="T3" s="495"/>
    </row>
    <row r="4" spans="1:20" ht="15.75" thickBot="1" x14ac:dyDescent="0.3"/>
    <row r="5" spans="1:20" x14ac:dyDescent="0.25">
      <c r="I5" s="35" t="s">
        <v>0</v>
      </c>
      <c r="J5" s="496" t="str">
        <f>PERFIL!B3</f>
        <v>Sione Maria Ferreira Queiros Marques</v>
      </c>
      <c r="K5" s="496"/>
      <c r="L5" s="496"/>
      <c r="M5" s="497"/>
      <c r="N5" s="5"/>
    </row>
    <row r="6" spans="1:20" x14ac:dyDescent="0.25">
      <c r="I6" s="36" t="s">
        <v>460</v>
      </c>
      <c r="J6" s="490">
        <f>PERFIL!B5</f>
        <v>14</v>
      </c>
      <c r="K6" s="490"/>
      <c r="L6" s="490"/>
      <c r="M6" s="491"/>
      <c r="N6" s="5"/>
    </row>
    <row r="7" spans="1:20" ht="15.75" thickBot="1" x14ac:dyDescent="0.3">
      <c r="I7" s="37" t="s">
        <v>210</v>
      </c>
      <c r="J7" s="492" t="str">
        <f>PERFIL!B4</f>
        <v>Garanhuns (Miracica)</v>
      </c>
      <c r="K7" s="492"/>
      <c r="L7" s="492"/>
      <c r="M7" s="493"/>
      <c r="N7" s="5"/>
    </row>
    <row r="12" spans="1:20" x14ac:dyDescent="0.25">
      <c r="K12" s="2"/>
    </row>
    <row r="21" spans="16:16" x14ac:dyDescent="0.25">
      <c r="P21" s="474" t="s">
        <v>471</v>
      </c>
    </row>
    <row r="22" spans="16:16" x14ac:dyDescent="0.25">
      <c r="P22" s="474" t="s">
        <v>472</v>
      </c>
    </row>
    <row r="23" spans="16:16" x14ac:dyDescent="0.25">
      <c r="P23" s="475" t="s">
        <v>473</v>
      </c>
    </row>
  </sheetData>
  <sheetProtection algorithmName="SHA-512" hashValue="ULD6UusRFElOowpr/bcE1/v/lh5ltN2CtWWwm6h3Sesv6FLxF8VR4pJqdLcwfbl2D0Z3e8AfTIMvxg/6JSokEw==" saltValue="CVebNP3114/u05VzZky2jw==" spinCount="100000" sheet="1" objects="1" scenarios="1"/>
  <mergeCells count="6">
    <mergeCell ref="J6:M6"/>
    <mergeCell ref="J7:M7"/>
    <mergeCell ref="A1:T1"/>
    <mergeCell ref="A2:T2"/>
    <mergeCell ref="A3:T3"/>
    <mergeCell ref="J5:M5"/>
  </mergeCells>
  <hyperlinks>
    <hyperlink ref="P23" r:id="rId1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erfil">
                <anchor moveWithCells="1" sizeWithCells="1">
                  <from>
                    <xdr:col>3</xdr:col>
                    <xdr:colOff>561975</xdr:colOff>
                    <xdr:row>8</xdr:row>
                    <xdr:rowOff>123825</xdr:rowOff>
                  </from>
                  <to>
                    <xdr:col>6</xdr:col>
                    <xdr:colOff>295275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ventário">
                <anchor moveWithCells="1" sizeWithCells="1">
                  <from>
                    <xdr:col>3</xdr:col>
                    <xdr:colOff>561975</xdr:colOff>
                    <xdr:row>12</xdr:row>
                    <xdr:rowOff>95250</xdr:rowOff>
                  </from>
                  <to>
                    <xdr:col>6</xdr:col>
                    <xdr:colOff>295275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dados_economicos_mensais">
                <anchor moveWithCells="1" sizeWithCells="1">
                  <from>
                    <xdr:col>3</xdr:col>
                    <xdr:colOff>561975</xdr:colOff>
                    <xdr:row>16</xdr:row>
                    <xdr:rowOff>85725</xdr:rowOff>
                  </from>
                  <to>
                    <xdr:col>6</xdr:col>
                    <xdr:colOff>295275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ados_tecnicos_mensais">
                <anchor moveWithCells="1" sizeWithCells="1">
                  <from>
                    <xdr:col>7</xdr:col>
                    <xdr:colOff>247650</xdr:colOff>
                    <xdr:row>8</xdr:row>
                    <xdr:rowOff>95250</xdr:rowOff>
                  </from>
                  <to>
                    <xdr:col>9</xdr:col>
                    <xdr:colOff>752475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Indicadores_tecnicos_mensais">
                <anchor moveWithCells="1" sizeWithCells="1">
                  <from>
                    <xdr:col>7</xdr:col>
                    <xdr:colOff>247650</xdr:colOff>
                    <xdr:row>16</xdr:row>
                    <xdr:rowOff>85725</xdr:rowOff>
                  </from>
                  <to>
                    <xdr:col>9</xdr:col>
                    <xdr:colOff>752475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Análises">
                <anchor moveWithCells="1" sizeWithCells="1">
                  <from>
                    <xdr:col>14</xdr:col>
                    <xdr:colOff>38100</xdr:colOff>
                    <xdr:row>8</xdr:row>
                    <xdr:rowOff>95250</xdr:rowOff>
                  </from>
                  <to>
                    <xdr:col>16</xdr:col>
                    <xdr:colOff>533400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indicadores_economicos_mensais">
                <anchor moveWithCells="1" sizeWithCells="1">
                  <from>
                    <xdr:col>7</xdr:col>
                    <xdr:colOff>247650</xdr:colOff>
                    <xdr:row>12</xdr:row>
                    <xdr:rowOff>95250</xdr:rowOff>
                  </from>
                  <to>
                    <xdr:col>9</xdr:col>
                    <xdr:colOff>752475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Gráficos">
                <anchor moveWithCells="1" sizeWithCells="1">
                  <from>
                    <xdr:col>14</xdr:col>
                    <xdr:colOff>38100</xdr:colOff>
                    <xdr:row>12</xdr:row>
                    <xdr:rowOff>95250</xdr:rowOff>
                  </from>
                  <to>
                    <xdr:col>16</xdr:col>
                    <xdr:colOff>533400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Retorno_mensal">
                <anchor moveWithCells="1" sizeWithCells="1">
                  <from>
                    <xdr:col>14</xdr:col>
                    <xdr:colOff>38100</xdr:colOff>
                    <xdr:row>16</xdr:row>
                    <xdr:rowOff>85725</xdr:rowOff>
                  </from>
                  <to>
                    <xdr:col>16</xdr:col>
                    <xdr:colOff>533400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Indicadores_economicos_anuais">
                <anchor moveWithCells="1" sizeWithCells="1">
                  <from>
                    <xdr:col>10</xdr:col>
                    <xdr:colOff>552450</xdr:colOff>
                    <xdr:row>8</xdr:row>
                    <xdr:rowOff>95250</xdr:rowOff>
                  </from>
                  <to>
                    <xdr:col>13</xdr:col>
                    <xdr:colOff>285750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Indicadores_tecnicos_anuais">
                <anchor moveWithCells="1" sizeWithCells="1">
                  <from>
                    <xdr:col>10</xdr:col>
                    <xdr:colOff>552450</xdr:colOff>
                    <xdr:row>12</xdr:row>
                    <xdr:rowOff>95250</xdr:rowOff>
                  </from>
                  <to>
                    <xdr:col>13</xdr:col>
                    <xdr:colOff>285750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INDICADORES">
                <anchor moveWithCells="1" sizeWithCells="1">
                  <from>
                    <xdr:col>10</xdr:col>
                    <xdr:colOff>552450</xdr:colOff>
                    <xdr:row>16</xdr:row>
                    <xdr:rowOff>85725</xdr:rowOff>
                  </from>
                  <to>
                    <xdr:col>13</xdr:col>
                    <xdr:colOff>285750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Custo_de_implantação_de_forrageiras">
                <anchor moveWithCells="1" sizeWithCells="1">
                  <from>
                    <xdr:col>3</xdr:col>
                    <xdr:colOff>561975</xdr:colOff>
                    <xdr:row>20</xdr:row>
                    <xdr:rowOff>85725</xdr:rowOff>
                  </from>
                  <to>
                    <xdr:col>6</xdr:col>
                    <xdr:colOff>295275</xdr:colOff>
                    <xdr:row>24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3:G9"/>
  <sheetViews>
    <sheetView workbookViewId="0">
      <selection activeCell="A20" sqref="A20"/>
    </sheetView>
  </sheetViews>
  <sheetFormatPr defaultColWidth="9.140625" defaultRowHeight="15" x14ac:dyDescent="0.25"/>
  <cols>
    <col min="1" max="1" width="37.7109375" style="1" bestFit="1" customWidth="1"/>
    <col min="2" max="16384" width="9.140625" style="1"/>
  </cols>
  <sheetData>
    <row r="3" spans="1:7" x14ac:dyDescent="0.25">
      <c r="A3" s="1" t="s">
        <v>124</v>
      </c>
      <c r="B3" s="281" t="s">
        <v>477</v>
      </c>
      <c r="C3" s="281"/>
      <c r="D3" s="281"/>
      <c r="E3" s="281"/>
      <c r="F3" s="281"/>
      <c r="G3" s="281"/>
    </row>
    <row r="4" spans="1:7" x14ac:dyDescent="0.25">
      <c r="A4" s="1" t="s">
        <v>210</v>
      </c>
      <c r="B4" s="281" t="s">
        <v>478</v>
      </c>
      <c r="C4" s="281"/>
      <c r="D4" s="281"/>
      <c r="E4" s="281"/>
      <c r="F4" s="281"/>
      <c r="G4" s="281"/>
    </row>
    <row r="5" spans="1:7" x14ac:dyDescent="0.25">
      <c r="A5" s="1" t="s">
        <v>325</v>
      </c>
      <c r="B5" s="281">
        <v>14</v>
      </c>
    </row>
    <row r="6" spans="1:7" x14ac:dyDescent="0.25">
      <c r="A6" s="1" t="s">
        <v>324</v>
      </c>
      <c r="B6" s="281">
        <v>2.5</v>
      </c>
    </row>
    <row r="7" spans="1:7" x14ac:dyDescent="0.25">
      <c r="A7" s="1" t="s">
        <v>125</v>
      </c>
      <c r="B7" s="281">
        <v>80</v>
      </c>
    </row>
    <row r="8" spans="1:7" x14ac:dyDescent="0.25">
      <c r="A8" s="1" t="s">
        <v>126</v>
      </c>
      <c r="B8" s="281">
        <v>0</v>
      </c>
    </row>
    <row r="9" spans="1:7" x14ac:dyDescent="0.25">
      <c r="A9" s="1" t="s">
        <v>127</v>
      </c>
      <c r="B9" s="281">
        <v>2</v>
      </c>
    </row>
  </sheetData>
  <sheetProtection algorithmName="SHA-512" hashValue="zEmaEkfJJQ3DyApq5sNA7+Sj3VighcIORCktGt3fwldRumaVNDJfYhn/OcSfJ6mkyfgO0OnzYO1yuZRiYni9FA==" saltValue="qQaA/osviWS2tbrLvIb0hw==" spinCount="100000" sheet="1" objects="1" scenario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571500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pagar_tudo">
                <anchor moveWithCells="1" sizeWithCells="1">
                  <from>
                    <xdr:col>0</xdr:col>
                    <xdr:colOff>590550</xdr:colOff>
                    <xdr:row>0</xdr:row>
                    <xdr:rowOff>28575</xdr:rowOff>
                  </from>
                  <to>
                    <xdr:col>0</xdr:col>
                    <xdr:colOff>1133475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2:N133"/>
  <sheetViews>
    <sheetView topLeftCell="A34" zoomScaleNormal="100" workbookViewId="0">
      <selection activeCell="A106" sqref="A106"/>
    </sheetView>
  </sheetViews>
  <sheetFormatPr defaultColWidth="9.140625" defaultRowHeight="15" x14ac:dyDescent="0.25"/>
  <cols>
    <col min="1" max="1" width="59.5703125" style="1" bestFit="1" customWidth="1"/>
    <col min="2" max="2" width="20.28515625" style="1" customWidth="1"/>
    <col min="3" max="3" width="13.7109375" style="1" customWidth="1"/>
    <col min="4" max="4" width="15.28515625" style="1" customWidth="1"/>
    <col min="5" max="5" width="18.140625" style="1" customWidth="1"/>
    <col min="6" max="6" width="20.28515625" style="1" bestFit="1" customWidth="1"/>
    <col min="7" max="7" width="13.28515625" style="1" customWidth="1"/>
    <col min="8" max="8" width="14" style="1" customWidth="1"/>
    <col min="9" max="9" width="43.5703125" style="1" bestFit="1" customWidth="1"/>
    <col min="10" max="10" width="19.28515625" style="1" bestFit="1" customWidth="1"/>
    <col min="11" max="11" width="13.5703125" style="1" bestFit="1" customWidth="1"/>
    <col min="12" max="12" width="16.42578125" style="1" bestFit="1" customWidth="1"/>
    <col min="13" max="16384" width="9.140625" style="1"/>
  </cols>
  <sheetData>
    <row r="2" spans="1:14" x14ac:dyDescent="0.25">
      <c r="A2" s="498" t="s">
        <v>208</v>
      </c>
      <c r="B2" s="498"/>
      <c r="C2" s="498"/>
      <c r="D2" s="498"/>
      <c r="E2" s="498"/>
    </row>
    <row r="3" spans="1:14" x14ac:dyDescent="0.25">
      <c r="A3" s="498"/>
      <c r="B3" s="498"/>
      <c r="C3" s="498"/>
      <c r="D3" s="498"/>
      <c r="E3" s="498"/>
    </row>
    <row r="4" spans="1:14" x14ac:dyDescent="0.25">
      <c r="A4" s="498"/>
      <c r="B4" s="498"/>
      <c r="C4" s="498"/>
      <c r="D4" s="498"/>
      <c r="E4" s="498"/>
    </row>
    <row r="5" spans="1:14" ht="15.75" x14ac:dyDescent="0.25">
      <c r="A5" s="476" t="s">
        <v>128</v>
      </c>
      <c r="B5" s="122"/>
      <c r="C5" s="123"/>
      <c r="D5" s="123"/>
      <c r="E5" s="123"/>
      <c r="F5" s="124"/>
      <c r="I5" s="504" t="s">
        <v>290</v>
      </c>
      <c r="J5" s="505"/>
      <c r="K5" s="3"/>
      <c r="L5" s="3"/>
      <c r="M5" s="3"/>
      <c r="N5" s="3"/>
    </row>
    <row r="6" spans="1:14" x14ac:dyDescent="0.25">
      <c r="A6" s="125"/>
      <c r="B6" s="499" t="s">
        <v>129</v>
      </c>
      <c r="C6" s="500"/>
      <c r="D6" s="501" t="s">
        <v>130</v>
      </c>
      <c r="E6" s="500"/>
      <c r="F6" s="126"/>
      <c r="I6" s="429"/>
      <c r="J6" s="430"/>
    </row>
    <row r="7" spans="1:14" x14ac:dyDescent="0.25">
      <c r="A7" s="38"/>
      <c r="B7" s="502" t="s">
        <v>131</v>
      </c>
      <c r="C7" s="503"/>
      <c r="D7" s="502" t="s">
        <v>131</v>
      </c>
      <c r="E7" s="503"/>
      <c r="F7" s="39" t="s">
        <v>132</v>
      </c>
      <c r="I7" s="431" t="s">
        <v>286</v>
      </c>
      <c r="J7" s="432">
        <f>F42</f>
        <v>6119.89</v>
      </c>
    </row>
    <row r="8" spans="1:14" x14ac:dyDescent="0.25">
      <c r="A8" s="40" t="s">
        <v>103</v>
      </c>
      <c r="B8" s="38" t="s">
        <v>133</v>
      </c>
      <c r="C8" s="38" t="s">
        <v>134</v>
      </c>
      <c r="D8" s="38" t="s">
        <v>133</v>
      </c>
      <c r="E8" s="38" t="s">
        <v>134</v>
      </c>
      <c r="F8" s="41" t="s">
        <v>134</v>
      </c>
      <c r="I8" s="431" t="s">
        <v>291</v>
      </c>
      <c r="J8" s="433">
        <f>B76</f>
        <v>0</v>
      </c>
    </row>
    <row r="9" spans="1:14" x14ac:dyDescent="0.25">
      <c r="A9" s="42"/>
      <c r="B9" s="42" t="s">
        <v>135</v>
      </c>
      <c r="C9" s="42"/>
      <c r="D9" s="42" t="s">
        <v>135</v>
      </c>
      <c r="E9" s="42"/>
      <c r="F9" s="43" t="s">
        <v>136</v>
      </c>
      <c r="I9" s="431" t="s">
        <v>292</v>
      </c>
      <c r="J9" s="433">
        <f>B72</f>
        <v>0</v>
      </c>
    </row>
    <row r="10" spans="1:14" x14ac:dyDescent="0.25">
      <c r="A10" s="282" t="s">
        <v>479</v>
      </c>
      <c r="B10" s="44"/>
      <c r="C10" s="44">
        <v>6.2</v>
      </c>
      <c r="D10" s="44"/>
      <c r="E10" s="44">
        <v>4</v>
      </c>
      <c r="F10" s="45">
        <v>2000</v>
      </c>
      <c r="I10" s="431" t="s">
        <v>288</v>
      </c>
      <c r="J10" s="434">
        <f>G102</f>
        <v>16314.400000000001</v>
      </c>
    </row>
    <row r="11" spans="1:14" x14ac:dyDescent="0.25">
      <c r="A11" s="283" t="s">
        <v>480</v>
      </c>
      <c r="B11" s="44"/>
      <c r="C11" s="44"/>
      <c r="D11" s="44"/>
      <c r="E11" s="44">
        <v>2</v>
      </c>
      <c r="F11" s="45">
        <v>8000</v>
      </c>
      <c r="I11" s="431" t="s">
        <v>289</v>
      </c>
      <c r="J11" s="435">
        <f>G133</f>
        <v>13139.99999</v>
      </c>
    </row>
    <row r="12" spans="1:14" x14ac:dyDescent="0.25">
      <c r="A12" s="282" t="s">
        <v>481</v>
      </c>
      <c r="B12" s="44"/>
      <c r="C12" s="44"/>
      <c r="D12" s="44"/>
      <c r="E12" s="44">
        <v>3.9</v>
      </c>
      <c r="F12" s="45">
        <v>2051</v>
      </c>
      <c r="I12" s="436"/>
      <c r="J12" s="437"/>
    </row>
    <row r="13" spans="1:14" x14ac:dyDescent="0.25">
      <c r="A13" s="470" t="s">
        <v>482</v>
      </c>
      <c r="B13" s="44"/>
      <c r="C13" s="44"/>
      <c r="D13" s="44"/>
      <c r="E13" s="44">
        <v>0.3</v>
      </c>
      <c r="F13" s="45">
        <v>8000</v>
      </c>
      <c r="I13" s="438" t="s">
        <v>97</v>
      </c>
      <c r="J13" s="439">
        <f>SUM(J6:J12)</f>
        <v>35574.289990000005</v>
      </c>
    </row>
    <row r="14" spans="1:14" x14ac:dyDescent="0.25">
      <c r="A14" s="406" t="s">
        <v>483</v>
      </c>
      <c r="B14" s="46"/>
      <c r="C14" s="46"/>
      <c r="D14" s="46"/>
      <c r="E14" s="46">
        <v>0.3</v>
      </c>
      <c r="F14" s="47">
        <v>8000</v>
      </c>
      <c r="I14" s="444" t="s">
        <v>318</v>
      </c>
      <c r="J14" s="454">
        <v>0.8</v>
      </c>
    </row>
    <row r="15" spans="1:14" x14ac:dyDescent="0.25">
      <c r="A15" s="284" t="s">
        <v>484</v>
      </c>
      <c r="B15" s="46"/>
      <c r="C15" s="46"/>
      <c r="D15" s="46"/>
      <c r="E15" s="46">
        <v>0.5</v>
      </c>
      <c r="F15" s="47">
        <v>8000</v>
      </c>
      <c r="I15" s="447" t="s">
        <v>319</v>
      </c>
      <c r="J15" s="448">
        <f>J14*J13</f>
        <v>28459.431992000005</v>
      </c>
      <c r="L15" s="473"/>
    </row>
    <row r="16" spans="1:14" x14ac:dyDescent="0.25">
      <c r="A16" s="285" t="s">
        <v>485</v>
      </c>
      <c r="B16" s="46"/>
      <c r="C16" s="46"/>
      <c r="D16" s="46"/>
      <c r="E16" s="46">
        <v>1</v>
      </c>
      <c r="F16" s="47">
        <v>8000</v>
      </c>
    </row>
    <row r="17" spans="1:10" x14ac:dyDescent="0.25">
      <c r="A17" s="48"/>
      <c r="B17" s="46"/>
      <c r="C17" s="46"/>
      <c r="D17" s="46"/>
      <c r="E17" s="46"/>
      <c r="F17" s="47"/>
      <c r="I17" s="504" t="s">
        <v>284</v>
      </c>
      <c r="J17" s="505"/>
    </row>
    <row r="18" spans="1:10" x14ac:dyDescent="0.25">
      <c r="A18" s="49"/>
      <c r="B18" s="46"/>
      <c r="C18" s="46"/>
      <c r="D18" s="50"/>
      <c r="E18" s="46"/>
      <c r="F18" s="47"/>
      <c r="I18" s="429" t="s">
        <v>285</v>
      </c>
      <c r="J18" s="430">
        <f>B25</f>
        <v>30599.45</v>
      </c>
    </row>
    <row r="19" spans="1:10" x14ac:dyDescent="0.25">
      <c r="A19" s="49"/>
      <c r="B19" s="46"/>
      <c r="C19" s="46"/>
      <c r="D19" s="50"/>
      <c r="E19" s="46"/>
      <c r="F19" s="47"/>
      <c r="I19" s="431" t="s">
        <v>286</v>
      </c>
      <c r="J19" s="432">
        <f>F42</f>
        <v>6119.89</v>
      </c>
    </row>
    <row r="20" spans="1:10" x14ac:dyDescent="0.25">
      <c r="A20" s="49"/>
      <c r="B20" s="46"/>
      <c r="C20" s="46"/>
      <c r="D20" s="50"/>
      <c r="E20" s="46"/>
      <c r="F20" s="47"/>
      <c r="I20" s="431" t="s">
        <v>287</v>
      </c>
      <c r="J20" s="433">
        <f>B64</f>
        <v>48850</v>
      </c>
    </row>
    <row r="21" spans="1:10" x14ac:dyDescent="0.25">
      <c r="A21" s="48"/>
      <c r="B21" s="46"/>
      <c r="C21" s="46"/>
      <c r="D21" s="50"/>
      <c r="E21" s="46"/>
      <c r="F21" s="45"/>
      <c r="I21" s="431" t="s">
        <v>293</v>
      </c>
      <c r="J21" s="433">
        <f>E102</f>
        <v>407860</v>
      </c>
    </row>
    <row r="22" spans="1:10" x14ac:dyDescent="0.25">
      <c r="A22" s="51" t="s">
        <v>138</v>
      </c>
      <c r="B22" s="52">
        <f>SUM(B10:B21)</f>
        <v>0</v>
      </c>
      <c r="C22" s="52">
        <f>SUM(C10:C21)</f>
        <v>6.2</v>
      </c>
      <c r="D22" s="52">
        <f>SUM(D10:D21)</f>
        <v>0</v>
      </c>
      <c r="E22" s="53">
        <f>SUM(E10:E21)</f>
        <v>12.000000000000002</v>
      </c>
      <c r="F22" s="127"/>
      <c r="I22" s="431" t="s">
        <v>289</v>
      </c>
      <c r="J22" s="434">
        <f>E133</f>
        <v>90399.999899999995</v>
      </c>
    </row>
    <row r="23" spans="1:10" x14ac:dyDescent="0.25">
      <c r="A23" s="54" t="s">
        <v>139</v>
      </c>
      <c r="B23" s="507">
        <f>C22+B22</f>
        <v>6.2</v>
      </c>
      <c r="C23" s="508"/>
      <c r="D23" s="509">
        <f>E22+D22</f>
        <v>12.000000000000002</v>
      </c>
      <c r="E23" s="510"/>
      <c r="F23" s="127"/>
      <c r="I23" s="431"/>
      <c r="J23" s="435"/>
    </row>
    <row r="24" spans="1:10" x14ac:dyDescent="0.25">
      <c r="A24" s="55" t="s">
        <v>140</v>
      </c>
      <c r="B24" s="511">
        <f>$F$10*(C10)+F11*C11+$F$12*(C12)+$F$13*(C13)+$F$14*(C14)+$F$15*(C15)+$F$16*(C16)+$F$17*C17+$F$18*C18+$F$19*C19+$F$20*C20+$F$21*C21</f>
        <v>12400</v>
      </c>
      <c r="C24" s="512"/>
      <c r="D24" s="513">
        <f>$F$10*(E10)+F11*E11+$F$12*(E12)+$F$13*(E13)+$F$14*(E14)+$F$15*(E15)+$F$16*(E16)+$F$17*E17+$F$18*E18+$F$16*E19+$F$20*E20+$F$21*E21</f>
        <v>48798.9</v>
      </c>
      <c r="E24" s="514"/>
      <c r="F24" s="128"/>
      <c r="I24" s="436"/>
      <c r="J24" s="437"/>
    </row>
    <row r="25" spans="1:10" x14ac:dyDescent="0.25">
      <c r="A25" s="56" t="s">
        <v>141</v>
      </c>
      <c r="B25" s="513">
        <f>(B24+D24)/2</f>
        <v>30599.45</v>
      </c>
      <c r="C25" s="515"/>
      <c r="D25" s="515"/>
      <c r="E25" s="515"/>
      <c r="F25" s="129"/>
      <c r="I25" s="438" t="s">
        <v>97</v>
      </c>
      <c r="J25" s="439">
        <f>SUM(J18:J24)</f>
        <v>583829.33990000002</v>
      </c>
    </row>
    <row r="26" spans="1:10" x14ac:dyDescent="0.25">
      <c r="A26" s="130"/>
      <c r="B26" s="131"/>
      <c r="C26" s="132"/>
      <c r="D26" s="132"/>
      <c r="E26" s="132"/>
      <c r="F26" s="133"/>
      <c r="I26" s="429" t="s">
        <v>294</v>
      </c>
      <c r="J26" s="455">
        <v>0.06</v>
      </c>
    </row>
    <row r="27" spans="1:10" x14ac:dyDescent="0.25">
      <c r="F27" s="134"/>
      <c r="I27" s="445" t="s">
        <v>353</v>
      </c>
      <c r="J27" s="446">
        <f>J25*J14</f>
        <v>467063.47192000004</v>
      </c>
    </row>
    <row r="28" spans="1:10" x14ac:dyDescent="0.25">
      <c r="A28" s="58" t="s">
        <v>142</v>
      </c>
      <c r="B28" s="59"/>
      <c r="C28" s="59"/>
      <c r="D28" s="59"/>
      <c r="E28" s="59" t="s">
        <v>143</v>
      </c>
      <c r="F28" s="60" t="s">
        <v>144</v>
      </c>
    </row>
    <row r="29" spans="1:10" x14ac:dyDescent="0.25">
      <c r="A29" s="61" t="s">
        <v>145</v>
      </c>
      <c r="B29" s="62" t="s">
        <v>146</v>
      </c>
      <c r="C29" s="62" t="s">
        <v>147</v>
      </c>
      <c r="D29" s="62" t="s">
        <v>148</v>
      </c>
      <c r="E29" s="62" t="s">
        <v>149</v>
      </c>
      <c r="F29" s="62" t="s">
        <v>16</v>
      </c>
    </row>
    <row r="30" spans="1:10" x14ac:dyDescent="0.25">
      <c r="A30" s="286" t="str">
        <f t="shared" ref="A30:A41" si="0">A10</f>
        <v>Reserva legal</v>
      </c>
      <c r="B30" s="45">
        <v>2000</v>
      </c>
      <c r="C30" s="63">
        <f t="shared" ref="C30:C37" si="1">(C10+E10)/2</f>
        <v>5.0999999999999996</v>
      </c>
      <c r="D30" s="64">
        <f t="shared" ref="D30:D41" si="2">C30*B30</f>
        <v>10200</v>
      </c>
      <c r="E30" s="288">
        <v>5</v>
      </c>
      <c r="F30" s="64">
        <f>D30/E30</f>
        <v>2040</v>
      </c>
    </row>
    <row r="31" spans="1:10" x14ac:dyDescent="0.25">
      <c r="A31" s="286" t="str">
        <f t="shared" si="0"/>
        <v>Pastagem - Decumbens</v>
      </c>
      <c r="B31" s="45">
        <v>8000</v>
      </c>
      <c r="C31" s="63">
        <f t="shared" si="1"/>
        <v>1</v>
      </c>
      <c r="D31" s="64">
        <f t="shared" si="2"/>
        <v>8000</v>
      </c>
      <c r="E31" s="288">
        <v>5</v>
      </c>
      <c r="F31" s="64">
        <f t="shared" ref="F31:F41" si="3">D31/E31</f>
        <v>1600</v>
      </c>
    </row>
    <row r="32" spans="1:10" x14ac:dyDescent="0.25">
      <c r="A32" s="286" t="str">
        <f>A12</f>
        <v>Pastagem - Nativa</v>
      </c>
      <c r="B32" s="45">
        <v>2051</v>
      </c>
      <c r="C32" s="63">
        <f t="shared" si="1"/>
        <v>1.95</v>
      </c>
      <c r="D32" s="64">
        <f t="shared" si="2"/>
        <v>3999.45</v>
      </c>
      <c r="E32" s="288">
        <v>5</v>
      </c>
      <c r="F32" s="64">
        <f t="shared" si="3"/>
        <v>799.89</v>
      </c>
      <c r="I32" s="504" t="s">
        <v>366</v>
      </c>
      <c r="J32" s="505"/>
    </row>
    <row r="33" spans="1:11" x14ac:dyDescent="0.25">
      <c r="A33" s="286" t="str">
        <f>A13</f>
        <v xml:space="preserve">Palma </v>
      </c>
      <c r="B33" s="45">
        <v>8000</v>
      </c>
      <c r="C33" s="63">
        <f t="shared" si="1"/>
        <v>0.15</v>
      </c>
      <c r="D33" s="64">
        <f t="shared" si="2"/>
        <v>1200</v>
      </c>
      <c r="E33" s="288">
        <v>5</v>
      </c>
      <c r="F33" s="64">
        <f t="shared" si="3"/>
        <v>240</v>
      </c>
      <c r="I33" s="155" t="s">
        <v>365</v>
      </c>
      <c r="J33" s="456">
        <v>880</v>
      </c>
    </row>
    <row r="34" spans="1:11" x14ac:dyDescent="0.25">
      <c r="A34" s="286" t="str">
        <f t="shared" si="0"/>
        <v>Capineira de C. Elefante</v>
      </c>
      <c r="B34" s="47">
        <v>8000</v>
      </c>
      <c r="C34" s="63">
        <f t="shared" si="1"/>
        <v>0.15</v>
      </c>
      <c r="D34" s="64">
        <f t="shared" si="2"/>
        <v>1200</v>
      </c>
      <c r="E34" s="288">
        <v>5</v>
      </c>
      <c r="F34" s="64">
        <f t="shared" si="3"/>
        <v>240</v>
      </c>
      <c r="I34" s="155" t="s">
        <v>367</v>
      </c>
      <c r="J34" s="440">
        <f>J33</f>
        <v>880</v>
      </c>
    </row>
    <row r="35" spans="1:11" x14ac:dyDescent="0.25">
      <c r="A35" s="286" t="str">
        <f t="shared" si="0"/>
        <v>Tifton</v>
      </c>
      <c r="B35" s="47">
        <v>8000</v>
      </c>
      <c r="C35" s="63">
        <f t="shared" si="1"/>
        <v>0.25</v>
      </c>
      <c r="D35" s="64">
        <f t="shared" si="2"/>
        <v>2000</v>
      </c>
      <c r="E35" s="288">
        <v>5</v>
      </c>
      <c r="F35" s="64">
        <f t="shared" si="3"/>
        <v>400</v>
      </c>
      <c r="I35" s="155" t="s">
        <v>368</v>
      </c>
      <c r="J35" s="440">
        <f>J33*0.3</f>
        <v>264</v>
      </c>
    </row>
    <row r="36" spans="1:11" x14ac:dyDescent="0.25">
      <c r="A36" s="286" t="str">
        <f t="shared" si="0"/>
        <v>Mombaça</v>
      </c>
      <c r="B36" s="47">
        <v>8000</v>
      </c>
      <c r="C36" s="63">
        <f t="shared" si="1"/>
        <v>0.5</v>
      </c>
      <c r="D36" s="64">
        <f t="shared" si="2"/>
        <v>4000</v>
      </c>
      <c r="E36" s="288">
        <v>5</v>
      </c>
      <c r="F36" s="64">
        <f t="shared" si="3"/>
        <v>800</v>
      </c>
      <c r="I36" s="441" t="s">
        <v>369</v>
      </c>
      <c r="J36" s="442">
        <f>(J33*12+J34+J35)/12</f>
        <v>975.33333333333337</v>
      </c>
    </row>
    <row r="37" spans="1:11" x14ac:dyDescent="0.25">
      <c r="A37" s="286">
        <f t="shared" si="0"/>
        <v>0</v>
      </c>
      <c r="B37" s="287"/>
      <c r="C37" s="63">
        <f t="shared" si="1"/>
        <v>0</v>
      </c>
      <c r="D37" s="64">
        <f t="shared" si="2"/>
        <v>0</v>
      </c>
      <c r="E37" s="288">
        <v>1</v>
      </c>
      <c r="F37" s="64">
        <f t="shared" si="3"/>
        <v>0</v>
      </c>
    </row>
    <row r="38" spans="1:11" x14ac:dyDescent="0.25">
      <c r="A38" s="286">
        <f t="shared" si="0"/>
        <v>0</v>
      </c>
      <c r="B38" s="287"/>
      <c r="C38" s="63">
        <f>(C18+E18)/2</f>
        <v>0</v>
      </c>
      <c r="D38" s="64">
        <f t="shared" si="2"/>
        <v>0</v>
      </c>
      <c r="E38" s="287">
        <v>1</v>
      </c>
      <c r="F38" s="64">
        <f>D38/E38</f>
        <v>0</v>
      </c>
    </row>
    <row r="39" spans="1:11" x14ac:dyDescent="0.25">
      <c r="A39" s="286">
        <f t="shared" si="0"/>
        <v>0</v>
      </c>
      <c r="B39" s="287"/>
      <c r="C39" s="63">
        <f>(C19+E19)/2</f>
        <v>0</v>
      </c>
      <c r="D39" s="64">
        <f t="shared" si="2"/>
        <v>0</v>
      </c>
      <c r="E39" s="287">
        <v>1</v>
      </c>
      <c r="F39" s="64">
        <f t="shared" si="3"/>
        <v>0</v>
      </c>
    </row>
    <row r="40" spans="1:11" x14ac:dyDescent="0.25">
      <c r="A40" s="286">
        <f t="shared" si="0"/>
        <v>0</v>
      </c>
      <c r="B40" s="287"/>
      <c r="C40" s="63">
        <f>(C20+E20)/2</f>
        <v>0</v>
      </c>
      <c r="D40" s="64">
        <f t="shared" si="2"/>
        <v>0</v>
      </c>
      <c r="E40" s="287">
        <v>1</v>
      </c>
      <c r="F40" s="64">
        <f t="shared" si="3"/>
        <v>0</v>
      </c>
    </row>
    <row r="41" spans="1:11" x14ac:dyDescent="0.25">
      <c r="A41" s="286">
        <f t="shared" si="0"/>
        <v>0</v>
      </c>
      <c r="B41" s="287"/>
      <c r="C41" s="63">
        <f>(C21+E21)/2</f>
        <v>0</v>
      </c>
      <c r="D41" s="64">
        <f t="shared" si="2"/>
        <v>0</v>
      </c>
      <c r="E41" s="287">
        <v>1</v>
      </c>
      <c r="F41" s="64">
        <f t="shared" si="3"/>
        <v>0</v>
      </c>
    </row>
    <row r="42" spans="1:11" ht="15.75" thickBot="1" x14ac:dyDescent="0.3">
      <c r="A42" s="65" t="s">
        <v>150</v>
      </c>
      <c r="B42" s="65"/>
      <c r="C42" s="65">
        <f>SUM(C30:C41)</f>
        <v>9.1</v>
      </c>
      <c r="D42" s="66">
        <f>SUM(D30:D35)</f>
        <v>26599.45</v>
      </c>
      <c r="E42" s="66"/>
      <c r="F42" s="66">
        <f>SUM(F30:F41)</f>
        <v>6119.89</v>
      </c>
      <c r="G42" s="203"/>
    </row>
    <row r="45" spans="1:11" ht="15.75" x14ac:dyDescent="0.25">
      <c r="A45" s="476" t="s">
        <v>151</v>
      </c>
    </row>
    <row r="47" spans="1:11" x14ac:dyDescent="0.25">
      <c r="A47" s="202" t="s">
        <v>109</v>
      </c>
      <c r="B47" s="67" t="s">
        <v>152</v>
      </c>
      <c r="C47" s="205" t="s">
        <v>153</v>
      </c>
      <c r="D47" s="68" t="s">
        <v>111</v>
      </c>
      <c r="E47" s="68" t="s">
        <v>112</v>
      </c>
      <c r="F47" s="68" t="s">
        <v>110</v>
      </c>
      <c r="G47" s="206" t="s">
        <v>154</v>
      </c>
      <c r="H47" s="207" t="s">
        <v>323</v>
      </c>
      <c r="I47" s="208" t="s">
        <v>155</v>
      </c>
      <c r="J47" s="209" t="s">
        <v>156</v>
      </c>
      <c r="K47" s="1" t="s">
        <v>389</v>
      </c>
    </row>
    <row r="48" spans="1:11" x14ac:dyDescent="0.25">
      <c r="A48" s="289" t="s">
        <v>115</v>
      </c>
      <c r="B48" s="71">
        <v>0</v>
      </c>
      <c r="C48" s="204"/>
      <c r="D48" s="204"/>
      <c r="E48" s="204"/>
      <c r="F48" s="204"/>
      <c r="G48" s="71">
        <v>0</v>
      </c>
      <c r="H48" s="210"/>
      <c r="I48" s="69">
        <f>B48*H48</f>
        <v>0</v>
      </c>
      <c r="J48" s="70">
        <f>H48*G48</f>
        <v>0</v>
      </c>
      <c r="K48" s="405">
        <f>J48-I48</f>
        <v>0</v>
      </c>
    </row>
    <row r="49" spans="1:11" x14ac:dyDescent="0.25">
      <c r="A49" s="290" t="s">
        <v>113</v>
      </c>
      <c r="B49" s="71">
        <v>7</v>
      </c>
      <c r="C49" s="204"/>
      <c r="D49" s="204"/>
      <c r="E49" s="204"/>
      <c r="F49" s="204"/>
      <c r="G49" s="71">
        <v>9</v>
      </c>
      <c r="H49" s="210">
        <v>2000</v>
      </c>
      <c r="I49" s="69">
        <f t="shared" ref="I49:I56" si="4">B49*H49</f>
        <v>14000</v>
      </c>
      <c r="J49" s="70">
        <f t="shared" ref="J49:J56" si="5">H49*G49</f>
        <v>18000</v>
      </c>
      <c r="K49" s="405">
        <f t="shared" ref="K49:K57" si="6">J49-I49</f>
        <v>4000</v>
      </c>
    </row>
    <row r="50" spans="1:11" x14ac:dyDescent="0.25">
      <c r="A50" s="290" t="s">
        <v>157</v>
      </c>
      <c r="B50" s="71">
        <v>2</v>
      </c>
      <c r="C50" s="204"/>
      <c r="D50" s="204"/>
      <c r="E50" s="204"/>
      <c r="F50" s="204"/>
      <c r="G50" s="71">
        <v>0</v>
      </c>
      <c r="H50" s="210">
        <v>2000</v>
      </c>
      <c r="I50" s="69">
        <f t="shared" si="4"/>
        <v>4000</v>
      </c>
      <c r="J50" s="70">
        <f t="shared" si="5"/>
        <v>0</v>
      </c>
      <c r="K50" s="405">
        <f t="shared" si="6"/>
        <v>-4000</v>
      </c>
    </row>
    <row r="51" spans="1:11" x14ac:dyDescent="0.25">
      <c r="A51" s="290" t="s">
        <v>116</v>
      </c>
      <c r="B51" s="71">
        <v>0</v>
      </c>
      <c r="C51" s="204"/>
      <c r="D51" s="204"/>
      <c r="E51" s="204"/>
      <c r="F51" s="204"/>
      <c r="G51" s="71">
        <v>4</v>
      </c>
      <c r="H51" s="210">
        <v>300</v>
      </c>
      <c r="I51" s="69">
        <f t="shared" si="4"/>
        <v>0</v>
      </c>
      <c r="J51" s="70">
        <f t="shared" si="5"/>
        <v>1200</v>
      </c>
      <c r="K51" s="405">
        <f t="shared" si="6"/>
        <v>1200</v>
      </c>
    </row>
    <row r="52" spans="1:11" x14ac:dyDescent="0.25">
      <c r="A52" s="290" t="s">
        <v>158</v>
      </c>
      <c r="B52" s="71">
        <v>5</v>
      </c>
      <c r="C52" s="204"/>
      <c r="D52" s="204"/>
      <c r="E52" s="204"/>
      <c r="F52" s="204"/>
      <c r="G52" s="71">
        <v>3</v>
      </c>
      <c r="H52" s="210">
        <v>1500</v>
      </c>
      <c r="I52" s="69">
        <f t="shared" si="4"/>
        <v>7500</v>
      </c>
      <c r="J52" s="70">
        <f t="shared" si="5"/>
        <v>4500</v>
      </c>
      <c r="K52" s="405">
        <f t="shared" si="6"/>
        <v>-3000</v>
      </c>
    </row>
    <row r="53" spans="1:11" x14ac:dyDescent="0.25">
      <c r="A53" s="290" t="s">
        <v>159</v>
      </c>
      <c r="B53" s="71">
        <v>3</v>
      </c>
      <c r="C53" s="204"/>
      <c r="D53" s="204"/>
      <c r="E53" s="204"/>
      <c r="F53" s="204"/>
      <c r="G53" s="71">
        <v>2</v>
      </c>
      <c r="H53" s="210">
        <v>2500</v>
      </c>
      <c r="I53" s="69">
        <f t="shared" si="4"/>
        <v>7500</v>
      </c>
      <c r="J53" s="70">
        <f t="shared" si="5"/>
        <v>5000</v>
      </c>
      <c r="K53" s="405">
        <f t="shared" si="6"/>
        <v>-2500</v>
      </c>
    </row>
    <row r="54" spans="1:11" x14ac:dyDescent="0.25">
      <c r="A54" s="290" t="s">
        <v>160</v>
      </c>
      <c r="B54" s="71">
        <v>3</v>
      </c>
      <c r="C54" s="204"/>
      <c r="D54" s="204"/>
      <c r="E54" s="204"/>
      <c r="F54" s="204"/>
      <c r="G54" s="71">
        <v>3</v>
      </c>
      <c r="H54" s="210">
        <v>3000</v>
      </c>
      <c r="I54" s="69">
        <f t="shared" si="4"/>
        <v>9000</v>
      </c>
      <c r="J54" s="70">
        <f t="shared" si="5"/>
        <v>9000</v>
      </c>
      <c r="K54" s="405">
        <f t="shared" si="6"/>
        <v>0</v>
      </c>
    </row>
    <row r="55" spans="1:11" x14ac:dyDescent="0.25">
      <c r="A55" s="290" t="s">
        <v>486</v>
      </c>
      <c r="B55" s="71">
        <v>0</v>
      </c>
      <c r="C55" s="204"/>
      <c r="D55" s="204"/>
      <c r="E55" s="204"/>
      <c r="F55" s="204"/>
      <c r="G55" s="71">
        <v>6</v>
      </c>
      <c r="H55" s="210">
        <v>3000</v>
      </c>
      <c r="I55" s="69">
        <f t="shared" si="4"/>
        <v>0</v>
      </c>
      <c r="J55" s="70">
        <f t="shared" si="5"/>
        <v>18000</v>
      </c>
      <c r="K55" s="405">
        <f t="shared" si="6"/>
        <v>18000</v>
      </c>
    </row>
    <row r="56" spans="1:11" x14ac:dyDescent="0.25">
      <c r="A56" s="291"/>
      <c r="B56" s="71"/>
      <c r="C56" s="204"/>
      <c r="D56" s="204"/>
      <c r="E56" s="204"/>
      <c r="F56" s="204"/>
      <c r="G56" s="292">
        <f>SUM(G48:G55)</f>
        <v>27</v>
      </c>
      <c r="H56" s="210"/>
      <c r="I56" s="69">
        <f t="shared" si="4"/>
        <v>0</v>
      </c>
      <c r="J56" s="70">
        <f t="shared" si="5"/>
        <v>0</v>
      </c>
      <c r="K56" s="405">
        <f t="shared" si="6"/>
        <v>0</v>
      </c>
    </row>
    <row r="57" spans="1:11" x14ac:dyDescent="0.25">
      <c r="A57" s="202" t="s">
        <v>161</v>
      </c>
      <c r="B57" s="72">
        <f>SUM(B48:B56)</f>
        <v>20</v>
      </c>
      <c r="C57" s="68">
        <f>SUM(C48:C56)</f>
        <v>0</v>
      </c>
      <c r="D57" s="68">
        <f>SUM(D48:D56)</f>
        <v>0</v>
      </c>
      <c r="E57" s="68">
        <f>SUM(E48:E56)</f>
        <v>0</v>
      </c>
      <c r="F57" s="68">
        <f>SUM(F48:F56)</f>
        <v>0</v>
      </c>
      <c r="G57" s="72">
        <f>B57+C57-D57-E57+F57</f>
        <v>20</v>
      </c>
      <c r="H57" s="207"/>
      <c r="I57" s="73">
        <f>SUM(I48:I56)</f>
        <v>42000</v>
      </c>
      <c r="J57" s="74">
        <f>SUM(J48:J56)</f>
        <v>55700</v>
      </c>
      <c r="K57" s="405">
        <f t="shared" si="6"/>
        <v>13700</v>
      </c>
    </row>
    <row r="58" spans="1:11" x14ac:dyDescent="0.25">
      <c r="A58" s="75" t="s">
        <v>117</v>
      </c>
      <c r="B58" s="71">
        <v>0</v>
      </c>
      <c r="C58" s="286"/>
      <c r="D58" s="286"/>
      <c r="E58" s="286"/>
      <c r="F58" s="286"/>
      <c r="G58" s="293"/>
      <c r="H58" s="294"/>
    </row>
    <row r="59" spans="1:11" x14ac:dyDescent="0.25">
      <c r="A59" s="75" t="s">
        <v>118</v>
      </c>
      <c r="B59" s="71">
        <v>0</v>
      </c>
      <c r="C59" s="286"/>
      <c r="D59" s="286"/>
      <c r="E59" s="286"/>
      <c r="F59" s="286"/>
      <c r="G59" s="293"/>
      <c r="H59" s="293"/>
    </row>
    <row r="60" spans="1:11" x14ac:dyDescent="0.25">
      <c r="A60" s="75" t="s">
        <v>119</v>
      </c>
      <c r="B60" s="71">
        <v>0</v>
      </c>
      <c r="C60" s="286"/>
      <c r="D60" s="286"/>
      <c r="E60" s="286"/>
      <c r="F60" s="286"/>
      <c r="G60" s="293"/>
      <c r="H60" s="295"/>
    </row>
    <row r="61" spans="1:11" x14ac:dyDescent="0.25">
      <c r="A61" s="202" t="s">
        <v>162</v>
      </c>
      <c r="B61" s="76">
        <f t="shared" ref="B61:G61" si="7">SUM(B58:B60)</f>
        <v>0</v>
      </c>
      <c r="C61" s="77">
        <f t="shared" si="7"/>
        <v>0</v>
      </c>
      <c r="D61" s="77">
        <f t="shared" si="7"/>
        <v>0</v>
      </c>
      <c r="E61" s="77">
        <f t="shared" si="7"/>
        <v>0</v>
      </c>
      <c r="F61" s="77">
        <f t="shared" si="7"/>
        <v>0</v>
      </c>
      <c r="G61" s="76">
        <f t="shared" si="7"/>
        <v>0</v>
      </c>
      <c r="H61" s="296">
        <v>0</v>
      </c>
    </row>
    <row r="62" spans="1:11" x14ac:dyDescent="0.25">
      <c r="A62" s="202" t="s">
        <v>163</v>
      </c>
      <c r="B62" s="78">
        <f>B61+B57</f>
        <v>20</v>
      </c>
      <c r="C62" s="79"/>
      <c r="D62" s="79"/>
      <c r="E62" s="79"/>
      <c r="F62" s="79"/>
      <c r="G62" s="78">
        <f>G61+G57</f>
        <v>20</v>
      </c>
      <c r="H62" s="211"/>
    </row>
    <row r="63" spans="1:11" x14ac:dyDescent="0.25">
      <c r="A63" s="60" t="s">
        <v>164</v>
      </c>
      <c r="B63" s="57"/>
      <c r="C63" s="286"/>
      <c r="D63" s="286"/>
      <c r="E63" s="286"/>
      <c r="F63" s="286"/>
      <c r="G63" s="297"/>
      <c r="H63" s="298">
        <f>H62+H58</f>
        <v>0</v>
      </c>
    </row>
    <row r="64" spans="1:11" x14ac:dyDescent="0.25">
      <c r="A64" s="80" t="s">
        <v>165</v>
      </c>
      <c r="B64" s="81">
        <f>(I57+J57)/2</f>
        <v>48850</v>
      </c>
      <c r="C64" s="299"/>
      <c r="D64" s="299"/>
      <c r="E64" s="299"/>
      <c r="F64" s="299"/>
      <c r="G64" s="299"/>
      <c r="H64" s="296"/>
    </row>
    <row r="66" spans="1:7" x14ac:dyDescent="0.25">
      <c r="A66" s="82" t="s">
        <v>166</v>
      </c>
      <c r="B66" s="83">
        <f>J57-I57-B67</f>
        <v>13700</v>
      </c>
    </row>
    <row r="67" spans="1:7" x14ac:dyDescent="0.25">
      <c r="A67" s="84" t="s">
        <v>167</v>
      </c>
      <c r="B67" s="85"/>
    </row>
    <row r="68" spans="1:7" x14ac:dyDescent="0.25">
      <c r="A68" s="57"/>
      <c r="B68" s="57"/>
    </row>
    <row r="69" spans="1:7" x14ac:dyDescent="0.25">
      <c r="A69" s="86" t="s">
        <v>168</v>
      </c>
      <c r="B69" s="87"/>
    </row>
    <row r="70" spans="1:7" x14ac:dyDescent="0.25">
      <c r="A70" s="88" t="s">
        <v>169</v>
      </c>
      <c r="B70" s="89">
        <f>(I48+J48)/2</f>
        <v>0</v>
      </c>
    </row>
    <row r="71" spans="1:7" x14ac:dyDescent="0.25">
      <c r="A71" s="90" t="s">
        <v>170</v>
      </c>
      <c r="B71" s="300">
        <v>5</v>
      </c>
    </row>
    <row r="72" spans="1:7" x14ac:dyDescent="0.25">
      <c r="A72" s="88" t="s">
        <v>171</v>
      </c>
      <c r="B72" s="91">
        <f>B70/B71</f>
        <v>0</v>
      </c>
    </row>
    <row r="73" spans="1:7" x14ac:dyDescent="0.25">
      <c r="A73" s="90"/>
      <c r="B73" s="92"/>
    </row>
    <row r="74" spans="1:7" x14ac:dyDescent="0.25">
      <c r="A74" s="88" t="s">
        <v>172</v>
      </c>
      <c r="B74" s="93">
        <f>G58*H58</f>
        <v>0</v>
      </c>
    </row>
    <row r="75" spans="1:7" x14ac:dyDescent="0.25">
      <c r="A75" s="90" t="s">
        <v>173</v>
      </c>
      <c r="B75" s="300">
        <v>10</v>
      </c>
    </row>
    <row r="76" spans="1:7" x14ac:dyDescent="0.25">
      <c r="A76" s="94" t="s">
        <v>174</v>
      </c>
      <c r="B76" s="95">
        <f>B74/B75</f>
        <v>0</v>
      </c>
    </row>
    <row r="80" spans="1:7" ht="15.75" x14ac:dyDescent="0.25">
      <c r="A80" s="476" t="s">
        <v>175</v>
      </c>
      <c r="B80" s="137"/>
      <c r="C80" s="135"/>
      <c r="D80" s="130"/>
      <c r="E80" s="130"/>
      <c r="F80" s="130"/>
      <c r="G80" s="130"/>
    </row>
    <row r="81" spans="1:7" x14ac:dyDescent="0.25">
      <c r="A81" s="136"/>
      <c r="B81" s="138"/>
      <c r="C81" s="139"/>
      <c r="D81" s="516" t="s">
        <v>176</v>
      </c>
      <c r="E81" s="516"/>
      <c r="F81" s="140"/>
      <c r="G81" s="141" t="s">
        <v>144</v>
      </c>
    </row>
    <row r="82" spans="1:7" x14ac:dyDescent="0.25">
      <c r="A82" s="67" t="s">
        <v>103</v>
      </c>
      <c r="B82" s="67" t="s">
        <v>3</v>
      </c>
      <c r="C82" s="97" t="s">
        <v>177</v>
      </c>
      <c r="D82" s="96" t="s">
        <v>178</v>
      </c>
      <c r="E82" s="96" t="s">
        <v>179</v>
      </c>
      <c r="F82" s="96" t="s">
        <v>180</v>
      </c>
      <c r="G82" s="96" t="s">
        <v>181</v>
      </c>
    </row>
    <row r="83" spans="1:7" x14ac:dyDescent="0.25">
      <c r="A83" s="98" t="s">
        <v>182</v>
      </c>
      <c r="B83" s="99" t="s">
        <v>183</v>
      </c>
      <c r="C83" s="100"/>
      <c r="D83" s="101"/>
      <c r="E83" s="102">
        <f>D83*C83</f>
        <v>0</v>
      </c>
      <c r="F83" s="471">
        <v>1</v>
      </c>
      <c r="G83" s="443">
        <f>E83/F83</f>
        <v>0</v>
      </c>
    </row>
    <row r="84" spans="1:7" x14ac:dyDescent="0.25">
      <c r="A84" s="103" t="s">
        <v>184</v>
      </c>
      <c r="B84" s="99" t="s">
        <v>183</v>
      </c>
      <c r="C84" s="100">
        <v>1</v>
      </c>
      <c r="D84" s="101">
        <v>6000</v>
      </c>
      <c r="E84" s="102">
        <f t="shared" ref="E84:E94" si="8">D84*C84</f>
        <v>6000</v>
      </c>
      <c r="F84" s="471">
        <v>25</v>
      </c>
      <c r="G84" s="443">
        <f t="shared" ref="G84:G101" si="9">E84/F84</f>
        <v>240</v>
      </c>
    </row>
    <row r="85" spans="1:7" x14ac:dyDescent="0.25">
      <c r="A85" s="104" t="s">
        <v>185</v>
      </c>
      <c r="B85" s="99" t="s">
        <v>183</v>
      </c>
      <c r="C85" s="100">
        <v>1</v>
      </c>
      <c r="D85" s="101">
        <v>30000</v>
      </c>
      <c r="E85" s="102">
        <f t="shared" si="8"/>
        <v>30000</v>
      </c>
      <c r="F85" s="471">
        <v>25</v>
      </c>
      <c r="G85" s="443">
        <f t="shared" si="9"/>
        <v>1200</v>
      </c>
    </row>
    <row r="86" spans="1:7" x14ac:dyDescent="0.25">
      <c r="A86" s="104" t="s">
        <v>186</v>
      </c>
      <c r="B86" s="99" t="s">
        <v>187</v>
      </c>
      <c r="C86" s="100">
        <v>2.5</v>
      </c>
      <c r="D86" s="101">
        <v>2600</v>
      </c>
      <c r="E86" s="102">
        <f t="shared" si="8"/>
        <v>6500</v>
      </c>
      <c r="F86" s="471">
        <v>25</v>
      </c>
      <c r="G86" s="443">
        <f t="shared" si="9"/>
        <v>260</v>
      </c>
    </row>
    <row r="87" spans="1:7" x14ac:dyDescent="0.25">
      <c r="A87" s="104" t="s">
        <v>189</v>
      </c>
      <c r="B87" s="99" t="s">
        <v>183</v>
      </c>
      <c r="C87" s="100">
        <v>3</v>
      </c>
      <c r="D87" s="101">
        <v>60</v>
      </c>
      <c r="E87" s="102">
        <f t="shared" si="8"/>
        <v>180</v>
      </c>
      <c r="F87" s="471">
        <v>25</v>
      </c>
      <c r="G87" s="443">
        <f t="shared" si="9"/>
        <v>7.2</v>
      </c>
    </row>
    <row r="88" spans="1:7" x14ac:dyDescent="0.25">
      <c r="A88" s="104" t="s">
        <v>450</v>
      </c>
      <c r="B88" s="99" t="s">
        <v>183</v>
      </c>
      <c r="C88" s="100">
        <v>24</v>
      </c>
      <c r="D88" s="101">
        <v>15000</v>
      </c>
      <c r="E88" s="102">
        <f t="shared" si="8"/>
        <v>360000</v>
      </c>
      <c r="F88" s="471">
        <v>25</v>
      </c>
      <c r="G88" s="443">
        <f t="shared" si="9"/>
        <v>14400</v>
      </c>
    </row>
    <row r="89" spans="1:7" x14ac:dyDescent="0.25">
      <c r="A89" s="104" t="s">
        <v>188</v>
      </c>
      <c r="B89" s="99" t="s">
        <v>183</v>
      </c>
      <c r="C89" s="100"/>
      <c r="D89" s="101"/>
      <c r="E89" s="102">
        <f t="shared" si="8"/>
        <v>0</v>
      </c>
      <c r="F89" s="471">
        <v>1</v>
      </c>
      <c r="G89" s="443">
        <f t="shared" si="9"/>
        <v>0</v>
      </c>
    </row>
    <row r="90" spans="1:7" x14ac:dyDescent="0.25">
      <c r="A90" s="104" t="s">
        <v>451</v>
      </c>
      <c r="B90" s="99" t="s">
        <v>183</v>
      </c>
      <c r="C90" s="100"/>
      <c r="D90" s="101"/>
      <c r="E90" s="102">
        <f t="shared" si="8"/>
        <v>0</v>
      </c>
      <c r="F90" s="471">
        <v>1</v>
      </c>
      <c r="G90" s="443">
        <f t="shared" si="9"/>
        <v>0</v>
      </c>
    </row>
    <row r="91" spans="1:7" x14ac:dyDescent="0.25">
      <c r="A91" s="104" t="s">
        <v>452</v>
      </c>
      <c r="B91" s="99" t="s">
        <v>183</v>
      </c>
      <c r="C91" s="100">
        <v>1</v>
      </c>
      <c r="D91" s="101">
        <v>180</v>
      </c>
      <c r="E91" s="102">
        <f t="shared" si="8"/>
        <v>180</v>
      </c>
      <c r="F91" s="471">
        <v>25</v>
      </c>
      <c r="G91" s="443">
        <f t="shared" si="9"/>
        <v>7.2</v>
      </c>
    </row>
    <row r="92" spans="1:7" x14ac:dyDescent="0.25">
      <c r="A92" s="104" t="s">
        <v>453</v>
      </c>
      <c r="B92" s="99" t="s">
        <v>183</v>
      </c>
      <c r="C92" s="100"/>
      <c r="D92" s="101"/>
      <c r="E92" s="102">
        <f t="shared" si="8"/>
        <v>0</v>
      </c>
      <c r="F92" s="471">
        <v>1</v>
      </c>
      <c r="G92" s="443">
        <f t="shared" si="9"/>
        <v>0</v>
      </c>
    </row>
    <row r="93" spans="1:7" x14ac:dyDescent="0.25">
      <c r="A93" s="104"/>
      <c r="B93" s="105" t="s">
        <v>21</v>
      </c>
      <c r="C93" s="100"/>
      <c r="D93" s="101"/>
      <c r="E93" s="102">
        <f t="shared" si="8"/>
        <v>0</v>
      </c>
      <c r="F93" s="471">
        <v>1</v>
      </c>
      <c r="G93" s="443">
        <f t="shared" si="9"/>
        <v>0</v>
      </c>
    </row>
    <row r="94" spans="1:7" x14ac:dyDescent="0.25">
      <c r="A94" s="104"/>
      <c r="B94" s="105" t="s">
        <v>183</v>
      </c>
      <c r="C94" s="100"/>
      <c r="D94" s="101"/>
      <c r="E94" s="102">
        <f t="shared" si="8"/>
        <v>0</v>
      </c>
      <c r="F94" s="471">
        <v>1</v>
      </c>
      <c r="G94" s="443">
        <f t="shared" si="9"/>
        <v>0</v>
      </c>
    </row>
    <row r="95" spans="1:7" x14ac:dyDescent="0.25">
      <c r="A95" s="106" t="s">
        <v>385</v>
      </c>
      <c r="B95" s="105" t="s">
        <v>21</v>
      </c>
      <c r="C95" s="100"/>
      <c r="D95" s="101"/>
      <c r="E95" s="102">
        <f t="shared" ref="E95:E101" si="10">D95*C95</f>
        <v>0</v>
      </c>
      <c r="F95" s="301">
        <v>1</v>
      </c>
      <c r="G95" s="443">
        <f t="shared" si="9"/>
        <v>0</v>
      </c>
    </row>
    <row r="96" spans="1:7" x14ac:dyDescent="0.25">
      <c r="A96" s="107" t="s">
        <v>487</v>
      </c>
      <c r="B96" s="105" t="s">
        <v>21</v>
      </c>
      <c r="C96" s="100">
        <v>1</v>
      </c>
      <c r="D96" s="101">
        <v>3000</v>
      </c>
      <c r="E96" s="102">
        <f t="shared" si="10"/>
        <v>3000</v>
      </c>
      <c r="F96" s="301">
        <v>25</v>
      </c>
      <c r="G96" s="443">
        <f t="shared" si="9"/>
        <v>120</v>
      </c>
    </row>
    <row r="97" spans="1:7" x14ac:dyDescent="0.25">
      <c r="A97" s="108" t="s">
        <v>488</v>
      </c>
      <c r="B97" s="105" t="s">
        <v>21</v>
      </c>
      <c r="C97" s="100">
        <v>1</v>
      </c>
      <c r="D97" s="101">
        <v>2000</v>
      </c>
      <c r="E97" s="102">
        <f t="shared" si="10"/>
        <v>2000</v>
      </c>
      <c r="F97" s="301">
        <v>25</v>
      </c>
      <c r="G97" s="443">
        <f t="shared" si="9"/>
        <v>80</v>
      </c>
    </row>
    <row r="98" spans="1:7" x14ac:dyDescent="0.25">
      <c r="A98" s="108" t="s">
        <v>489</v>
      </c>
      <c r="B98" s="105" t="s">
        <v>21</v>
      </c>
      <c r="C98" s="100"/>
      <c r="D98" s="101"/>
      <c r="E98" s="102">
        <f t="shared" si="10"/>
        <v>0</v>
      </c>
      <c r="F98" s="301">
        <v>1</v>
      </c>
      <c r="G98" s="443">
        <f t="shared" si="9"/>
        <v>0</v>
      </c>
    </row>
    <row r="99" spans="1:7" x14ac:dyDescent="0.25">
      <c r="A99" s="108"/>
      <c r="B99" s="105" t="s">
        <v>21</v>
      </c>
      <c r="C99" s="100"/>
      <c r="D99" s="101"/>
      <c r="E99" s="102">
        <f t="shared" si="10"/>
        <v>0</v>
      </c>
      <c r="F99" s="301">
        <v>1</v>
      </c>
      <c r="G99" s="443">
        <f t="shared" si="9"/>
        <v>0</v>
      </c>
    </row>
    <row r="100" spans="1:7" x14ac:dyDescent="0.25">
      <c r="A100" s="108"/>
      <c r="B100" s="105" t="s">
        <v>21</v>
      </c>
      <c r="C100" s="100"/>
      <c r="D100" s="101"/>
      <c r="E100" s="102">
        <f t="shared" si="10"/>
        <v>0</v>
      </c>
      <c r="F100" s="301">
        <v>1</v>
      </c>
      <c r="G100" s="443">
        <f t="shared" si="9"/>
        <v>0</v>
      </c>
    </row>
    <row r="101" spans="1:7" x14ac:dyDescent="0.25">
      <c r="A101" s="108"/>
      <c r="B101" s="109" t="s">
        <v>21</v>
      </c>
      <c r="C101" s="100"/>
      <c r="D101" s="101"/>
      <c r="E101" s="102">
        <f t="shared" si="10"/>
        <v>0</v>
      </c>
      <c r="F101" s="301">
        <v>1</v>
      </c>
      <c r="G101" s="443">
        <f t="shared" si="9"/>
        <v>0</v>
      </c>
    </row>
    <row r="102" spans="1:7" x14ac:dyDescent="0.25">
      <c r="A102" s="501" t="s">
        <v>150</v>
      </c>
      <c r="B102" s="506"/>
      <c r="C102" s="110"/>
      <c r="D102" s="111"/>
      <c r="E102" s="112">
        <f>SUM(E83:E101)</f>
        <v>407860</v>
      </c>
      <c r="F102" s="112"/>
      <c r="G102" s="113">
        <f>SUM(G83:G101)</f>
        <v>16314.400000000001</v>
      </c>
    </row>
    <row r="106" spans="1:7" ht="15.75" x14ac:dyDescent="0.25">
      <c r="A106" s="477" t="s">
        <v>190</v>
      </c>
    </row>
    <row r="107" spans="1:7" x14ac:dyDescent="0.25">
      <c r="D107" s="478" t="s">
        <v>176</v>
      </c>
      <c r="E107" s="478"/>
      <c r="F107" s="478"/>
      <c r="G107" s="478" t="s">
        <v>144</v>
      </c>
    </row>
    <row r="108" spans="1:7" x14ac:dyDescent="0.25">
      <c r="A108" s="67" t="s">
        <v>103</v>
      </c>
      <c r="B108" s="67" t="s">
        <v>3</v>
      </c>
      <c r="C108" s="97" t="s">
        <v>177</v>
      </c>
      <c r="D108" s="96" t="s">
        <v>178</v>
      </c>
      <c r="E108" s="96" t="s">
        <v>179</v>
      </c>
      <c r="F108" s="96" t="s">
        <v>180</v>
      </c>
      <c r="G108" s="96" t="s">
        <v>181</v>
      </c>
    </row>
    <row r="109" spans="1:7" x14ac:dyDescent="0.25">
      <c r="A109" s="104" t="s">
        <v>191</v>
      </c>
      <c r="B109" s="99" t="s">
        <v>192</v>
      </c>
      <c r="C109" s="114">
        <v>2</v>
      </c>
      <c r="D109" s="115">
        <v>2000</v>
      </c>
      <c r="E109" s="116">
        <f t="shared" ref="E109:E132" si="11">D109*C109</f>
        <v>4000</v>
      </c>
      <c r="F109" s="472">
        <v>10</v>
      </c>
      <c r="G109" s="443">
        <f>E109/F109</f>
        <v>400</v>
      </c>
    </row>
    <row r="110" spans="1:7" x14ac:dyDescent="0.25">
      <c r="A110" s="104" t="s">
        <v>193</v>
      </c>
      <c r="B110" s="99" t="s">
        <v>192</v>
      </c>
      <c r="C110" s="114">
        <v>1</v>
      </c>
      <c r="D110" s="115">
        <v>10000</v>
      </c>
      <c r="E110" s="116">
        <f t="shared" si="11"/>
        <v>10000</v>
      </c>
      <c r="F110" s="472">
        <v>10</v>
      </c>
      <c r="G110" s="443">
        <f t="shared" ref="G110:G132" si="12">E110/F110</f>
        <v>1000</v>
      </c>
    </row>
    <row r="111" spans="1:7" x14ac:dyDescent="0.25">
      <c r="A111" s="104" t="s">
        <v>194</v>
      </c>
      <c r="B111" s="99" t="s">
        <v>192</v>
      </c>
      <c r="C111" s="114">
        <v>1</v>
      </c>
      <c r="D111" s="115">
        <v>200</v>
      </c>
      <c r="E111" s="116">
        <f t="shared" si="11"/>
        <v>200</v>
      </c>
      <c r="F111" s="472">
        <v>10</v>
      </c>
      <c r="G111" s="443">
        <f t="shared" si="12"/>
        <v>20</v>
      </c>
    </row>
    <row r="112" spans="1:7" x14ac:dyDescent="0.25">
      <c r="A112" s="104" t="s">
        <v>454</v>
      </c>
      <c r="B112" s="99" t="s">
        <v>192</v>
      </c>
      <c r="C112" s="114">
        <v>1</v>
      </c>
      <c r="D112" s="115">
        <v>5000</v>
      </c>
      <c r="E112" s="116">
        <f t="shared" si="11"/>
        <v>5000</v>
      </c>
      <c r="F112" s="472">
        <v>10</v>
      </c>
      <c r="G112" s="443">
        <f t="shared" si="12"/>
        <v>500</v>
      </c>
    </row>
    <row r="113" spans="1:7" x14ac:dyDescent="0.25">
      <c r="A113" s="104" t="s">
        <v>195</v>
      </c>
      <c r="B113" s="99" t="s">
        <v>192</v>
      </c>
      <c r="C113" s="114"/>
      <c r="D113" s="115"/>
      <c r="E113" s="116">
        <f t="shared" si="11"/>
        <v>0</v>
      </c>
      <c r="F113" s="472">
        <v>1</v>
      </c>
      <c r="G113" s="443">
        <f t="shared" si="12"/>
        <v>0</v>
      </c>
    </row>
    <row r="114" spans="1:7" x14ac:dyDescent="0.25">
      <c r="A114" s="104" t="s">
        <v>455</v>
      </c>
      <c r="B114" s="99" t="s">
        <v>192</v>
      </c>
      <c r="C114" s="114">
        <v>1</v>
      </c>
      <c r="D114" s="115">
        <v>1200</v>
      </c>
      <c r="E114" s="116">
        <f>D114*C114</f>
        <v>1200</v>
      </c>
      <c r="F114" s="472">
        <v>10</v>
      </c>
      <c r="G114" s="443">
        <f t="shared" si="12"/>
        <v>120</v>
      </c>
    </row>
    <row r="115" spans="1:7" x14ac:dyDescent="0.25">
      <c r="A115" s="104" t="s">
        <v>456</v>
      </c>
      <c r="B115" s="99" t="s">
        <v>192</v>
      </c>
      <c r="C115" s="114"/>
      <c r="D115" s="115"/>
      <c r="E115" s="116">
        <f t="shared" si="11"/>
        <v>0</v>
      </c>
      <c r="F115" s="472">
        <v>1</v>
      </c>
      <c r="G115" s="443">
        <f t="shared" si="12"/>
        <v>0</v>
      </c>
    </row>
    <row r="116" spans="1:7" x14ac:dyDescent="0.25">
      <c r="A116" s="104" t="s">
        <v>196</v>
      </c>
      <c r="B116" s="99" t="s">
        <v>192</v>
      </c>
      <c r="C116" s="114">
        <v>1</v>
      </c>
      <c r="D116" s="115">
        <v>6000</v>
      </c>
      <c r="E116" s="116">
        <f t="shared" si="11"/>
        <v>6000</v>
      </c>
      <c r="F116" s="472">
        <v>5</v>
      </c>
      <c r="G116" s="443">
        <f t="shared" si="12"/>
        <v>1200</v>
      </c>
    </row>
    <row r="117" spans="1:7" x14ac:dyDescent="0.25">
      <c r="A117" s="103" t="s">
        <v>457</v>
      </c>
      <c r="B117" s="99" t="s">
        <v>192</v>
      </c>
      <c r="C117" s="114"/>
      <c r="D117" s="115"/>
      <c r="E117" s="116">
        <f t="shared" si="11"/>
        <v>0</v>
      </c>
      <c r="F117" s="472">
        <v>1</v>
      </c>
      <c r="G117" s="443">
        <f t="shared" si="12"/>
        <v>0</v>
      </c>
    </row>
    <row r="118" spans="1:7" x14ac:dyDescent="0.25">
      <c r="A118" s="103" t="s">
        <v>197</v>
      </c>
      <c r="B118" s="99" t="s">
        <v>192</v>
      </c>
      <c r="C118" s="114"/>
      <c r="D118" s="115"/>
      <c r="E118" s="116">
        <f t="shared" si="11"/>
        <v>0</v>
      </c>
      <c r="F118" s="472">
        <v>1</v>
      </c>
      <c r="G118" s="443">
        <f t="shared" si="12"/>
        <v>0</v>
      </c>
    </row>
    <row r="119" spans="1:7" x14ac:dyDescent="0.25">
      <c r="A119" s="104" t="s">
        <v>198</v>
      </c>
      <c r="B119" s="99" t="s">
        <v>192</v>
      </c>
      <c r="C119" s="114"/>
      <c r="D119" s="115"/>
      <c r="E119" s="116">
        <f t="shared" si="11"/>
        <v>0</v>
      </c>
      <c r="F119" s="472">
        <v>1</v>
      </c>
      <c r="G119" s="443">
        <f t="shared" si="12"/>
        <v>0</v>
      </c>
    </row>
    <row r="120" spans="1:7" x14ac:dyDescent="0.25">
      <c r="A120" s="104" t="s">
        <v>199</v>
      </c>
      <c r="B120" s="99" t="s">
        <v>192</v>
      </c>
      <c r="C120" s="114"/>
      <c r="D120" s="115"/>
      <c r="E120" s="116">
        <f t="shared" si="11"/>
        <v>0</v>
      </c>
      <c r="F120" s="472">
        <v>1</v>
      </c>
      <c r="G120" s="443">
        <f t="shared" si="12"/>
        <v>0</v>
      </c>
    </row>
    <row r="121" spans="1:7" x14ac:dyDescent="0.25">
      <c r="A121" s="104" t="s">
        <v>322</v>
      </c>
      <c r="B121" s="99" t="s">
        <v>192</v>
      </c>
      <c r="C121" s="114"/>
      <c r="D121" s="115"/>
      <c r="E121" s="116">
        <f t="shared" si="11"/>
        <v>0</v>
      </c>
      <c r="F121" s="472">
        <v>1</v>
      </c>
      <c r="G121" s="443">
        <f t="shared" si="12"/>
        <v>0</v>
      </c>
    </row>
    <row r="122" spans="1:7" x14ac:dyDescent="0.25">
      <c r="A122" s="103" t="s">
        <v>200</v>
      </c>
      <c r="B122" s="99" t="s">
        <v>192</v>
      </c>
      <c r="C122" s="114"/>
      <c r="D122" s="115"/>
      <c r="E122" s="116">
        <f t="shared" si="11"/>
        <v>0</v>
      </c>
      <c r="F122" s="472">
        <v>1</v>
      </c>
      <c r="G122" s="443">
        <f t="shared" si="12"/>
        <v>0</v>
      </c>
    </row>
    <row r="123" spans="1:7" x14ac:dyDescent="0.25">
      <c r="A123" s="104" t="s">
        <v>458</v>
      </c>
      <c r="B123" s="99" t="s">
        <v>192</v>
      </c>
      <c r="C123" s="114">
        <v>1</v>
      </c>
      <c r="D123" s="115">
        <v>35000</v>
      </c>
      <c r="E123" s="116">
        <f t="shared" si="11"/>
        <v>35000</v>
      </c>
      <c r="F123" s="472">
        <v>5</v>
      </c>
      <c r="G123" s="443">
        <f t="shared" si="12"/>
        <v>7000</v>
      </c>
    </row>
    <row r="124" spans="1:7" x14ac:dyDescent="0.25">
      <c r="A124" s="103" t="s">
        <v>201</v>
      </c>
      <c r="B124" s="99" t="s">
        <v>192</v>
      </c>
      <c r="C124" s="114"/>
      <c r="D124" s="115"/>
      <c r="E124" s="116">
        <f t="shared" si="11"/>
        <v>0</v>
      </c>
      <c r="F124" s="472">
        <v>1</v>
      </c>
      <c r="G124" s="443">
        <f t="shared" si="12"/>
        <v>0</v>
      </c>
    </row>
    <row r="125" spans="1:7" x14ac:dyDescent="0.25">
      <c r="A125" s="104" t="s">
        <v>202</v>
      </c>
      <c r="B125" s="99" t="s">
        <v>192</v>
      </c>
      <c r="C125" s="114"/>
      <c r="D125" s="115"/>
      <c r="E125" s="116">
        <f t="shared" si="11"/>
        <v>0</v>
      </c>
      <c r="F125" s="472">
        <v>1</v>
      </c>
      <c r="G125" s="443">
        <f t="shared" si="12"/>
        <v>0</v>
      </c>
    </row>
    <row r="126" spans="1:7" x14ac:dyDescent="0.25">
      <c r="A126" s="104" t="s">
        <v>203</v>
      </c>
      <c r="B126" s="99" t="s">
        <v>192</v>
      </c>
      <c r="C126" s="114">
        <v>1</v>
      </c>
      <c r="D126" s="115">
        <v>300</v>
      </c>
      <c r="E126" s="116">
        <f t="shared" si="11"/>
        <v>300</v>
      </c>
      <c r="F126" s="472">
        <v>10</v>
      </c>
      <c r="G126" s="443">
        <f t="shared" si="12"/>
        <v>30</v>
      </c>
    </row>
    <row r="127" spans="1:7" x14ac:dyDescent="0.25">
      <c r="A127" s="104" t="s">
        <v>204</v>
      </c>
      <c r="B127" s="99" t="s">
        <v>192</v>
      </c>
      <c r="C127" s="114">
        <v>2</v>
      </c>
      <c r="D127" s="115">
        <v>600</v>
      </c>
      <c r="E127" s="116">
        <f t="shared" si="11"/>
        <v>1200</v>
      </c>
      <c r="F127" s="472">
        <v>10</v>
      </c>
      <c r="G127" s="443">
        <f t="shared" si="12"/>
        <v>120</v>
      </c>
    </row>
    <row r="128" spans="1:7" x14ac:dyDescent="0.25">
      <c r="A128" s="104" t="s">
        <v>205</v>
      </c>
      <c r="B128" s="99" t="s">
        <v>192</v>
      </c>
      <c r="C128" s="114">
        <v>2</v>
      </c>
      <c r="D128" s="115">
        <v>300</v>
      </c>
      <c r="E128" s="116">
        <f t="shared" si="11"/>
        <v>600</v>
      </c>
      <c r="F128" s="472">
        <v>10</v>
      </c>
      <c r="G128" s="443">
        <f t="shared" si="12"/>
        <v>60</v>
      </c>
    </row>
    <row r="129" spans="1:7" x14ac:dyDescent="0.25">
      <c r="A129" s="104" t="s">
        <v>206</v>
      </c>
      <c r="B129" s="99" t="s">
        <v>192</v>
      </c>
      <c r="C129" s="114"/>
      <c r="D129" s="115"/>
      <c r="E129" s="116">
        <f t="shared" si="11"/>
        <v>0</v>
      </c>
      <c r="F129" s="472">
        <v>1</v>
      </c>
      <c r="G129" s="443">
        <f t="shared" si="12"/>
        <v>0</v>
      </c>
    </row>
    <row r="130" spans="1:7" x14ac:dyDescent="0.25">
      <c r="A130" s="104" t="s">
        <v>207</v>
      </c>
      <c r="B130" s="99" t="s">
        <v>192</v>
      </c>
      <c r="C130" s="114">
        <v>2</v>
      </c>
      <c r="D130" s="115">
        <v>1100</v>
      </c>
      <c r="E130" s="116">
        <f t="shared" si="11"/>
        <v>2200</v>
      </c>
      <c r="F130" s="472">
        <v>10</v>
      </c>
      <c r="G130" s="443">
        <f t="shared" si="12"/>
        <v>220</v>
      </c>
    </row>
    <row r="131" spans="1:7" x14ac:dyDescent="0.25">
      <c r="A131" s="104" t="s">
        <v>459</v>
      </c>
      <c r="B131" s="99" t="s">
        <v>192</v>
      </c>
      <c r="C131" s="114"/>
      <c r="D131" s="115"/>
      <c r="E131" s="116">
        <f t="shared" si="11"/>
        <v>0</v>
      </c>
      <c r="F131" s="472">
        <v>1</v>
      </c>
      <c r="G131" s="443">
        <f t="shared" si="12"/>
        <v>0</v>
      </c>
    </row>
    <row r="132" spans="1:7" x14ac:dyDescent="0.25">
      <c r="A132" s="104" t="s">
        <v>55</v>
      </c>
      <c r="B132" s="99" t="s">
        <v>192</v>
      </c>
      <c r="C132" s="114">
        <v>3</v>
      </c>
      <c r="D132" s="115">
        <v>8233.3333000000002</v>
      </c>
      <c r="E132" s="116">
        <f t="shared" si="11"/>
        <v>24699.999900000003</v>
      </c>
      <c r="F132" s="472">
        <v>10</v>
      </c>
      <c r="G132" s="443">
        <f t="shared" si="12"/>
        <v>2469.9999900000003</v>
      </c>
    </row>
    <row r="133" spans="1:7" x14ac:dyDescent="0.25">
      <c r="A133" s="501" t="s">
        <v>150</v>
      </c>
      <c r="B133" s="506"/>
      <c r="C133" s="117"/>
      <c r="D133" s="118"/>
      <c r="E133" s="119">
        <f>SUM(E109:E132)</f>
        <v>90399.999899999995</v>
      </c>
      <c r="F133" s="120"/>
      <c r="G133" s="121">
        <f>SUM(G109:G132)</f>
        <v>13139.99999</v>
      </c>
    </row>
  </sheetData>
  <mergeCells count="16">
    <mergeCell ref="I32:J32"/>
    <mergeCell ref="I5:J5"/>
    <mergeCell ref="I17:J17"/>
    <mergeCell ref="A133:B133"/>
    <mergeCell ref="B23:C23"/>
    <mergeCell ref="D23:E23"/>
    <mergeCell ref="B24:C24"/>
    <mergeCell ref="D24:E24"/>
    <mergeCell ref="B25:E25"/>
    <mergeCell ref="D81:E81"/>
    <mergeCell ref="A102:B102"/>
    <mergeCell ref="A2:E4"/>
    <mergeCell ref="B6:C6"/>
    <mergeCell ref="D6:E6"/>
    <mergeCell ref="B7:C7"/>
    <mergeCell ref="D7:E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0</xdr:col>
                    <xdr:colOff>619125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agar_tudo">
                <anchor moveWithCells="1" sizeWithCells="1">
                  <from>
                    <xdr:col>8</xdr:col>
                    <xdr:colOff>2095500</xdr:colOff>
                    <xdr:row>47</xdr:row>
                    <xdr:rowOff>28575</xdr:rowOff>
                  </from>
                  <to>
                    <xdr:col>8</xdr:col>
                    <xdr:colOff>2771775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Limpar_inventário">
                <anchor moveWithCells="1" sizeWithCells="1">
                  <from>
                    <xdr:col>0</xdr:col>
                    <xdr:colOff>638175</xdr:colOff>
                    <xdr:row>0</xdr:row>
                    <xdr:rowOff>76200</xdr:rowOff>
                  </from>
                  <to>
                    <xdr:col>0</xdr:col>
                    <xdr:colOff>1181100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2:AW98"/>
  <sheetViews>
    <sheetView zoomScaleNormal="100" workbookViewId="0">
      <pane xSplit="1" topLeftCell="B1" activePane="topRight" state="frozen"/>
      <selection activeCell="A32" sqref="A32"/>
      <selection pane="topRight" activeCell="B16" sqref="B16"/>
    </sheetView>
  </sheetViews>
  <sheetFormatPr defaultColWidth="9.140625" defaultRowHeight="15" x14ac:dyDescent="0.25"/>
  <cols>
    <col min="1" max="1" width="46.85546875" style="1" bestFit="1" customWidth="1"/>
    <col min="2" max="2" width="6.5703125" style="1" bestFit="1" customWidth="1"/>
    <col min="3" max="4" width="12.5703125" style="212" bestFit="1" customWidth="1"/>
    <col min="5" max="5" width="7.85546875" style="1" bestFit="1" customWidth="1"/>
    <col min="6" max="6" width="12.5703125" style="1" bestFit="1" customWidth="1"/>
    <col min="7" max="7" width="15.5703125" style="1" bestFit="1" customWidth="1"/>
    <col min="8" max="8" width="7.85546875" style="1" bestFit="1" customWidth="1"/>
    <col min="9" max="9" width="12.5703125" style="1" bestFit="1" customWidth="1"/>
    <col min="10" max="10" width="16.5703125" style="1" bestFit="1" customWidth="1"/>
    <col min="11" max="11" width="7.85546875" style="1" bestFit="1" customWidth="1"/>
    <col min="12" max="12" width="12.5703125" style="1" bestFit="1" customWidth="1"/>
    <col min="13" max="13" width="16.5703125" style="1" bestFit="1" customWidth="1"/>
    <col min="14" max="14" width="8.7109375" style="1" bestFit="1" customWidth="1"/>
    <col min="15" max="15" width="13.5703125" style="1" bestFit="1" customWidth="1"/>
    <col min="16" max="16" width="17.5703125" style="1" bestFit="1" customWidth="1"/>
    <col min="17" max="17" width="8.7109375" style="1" bestFit="1" customWidth="1"/>
    <col min="18" max="18" width="13.5703125" style="1" bestFit="1" customWidth="1"/>
    <col min="19" max="19" width="17.5703125" style="1" bestFit="1" customWidth="1"/>
    <col min="20" max="20" width="8.7109375" style="1" bestFit="1" customWidth="1"/>
    <col min="21" max="21" width="13.5703125" style="1" bestFit="1" customWidth="1"/>
    <col min="22" max="22" width="17.5703125" style="1" bestFit="1" customWidth="1"/>
    <col min="23" max="23" width="8.7109375" style="1" bestFit="1" customWidth="1"/>
    <col min="24" max="24" width="13.5703125" style="1" bestFit="1" customWidth="1"/>
    <col min="25" max="25" width="17.5703125" style="1" bestFit="1" customWidth="1"/>
    <col min="26" max="26" width="8.7109375" style="1" bestFit="1" customWidth="1"/>
    <col min="27" max="27" width="13.5703125" style="1" bestFit="1" customWidth="1"/>
    <col min="28" max="28" width="17.5703125" style="1" bestFit="1" customWidth="1"/>
    <col min="29" max="29" width="8.7109375" style="1" bestFit="1" customWidth="1"/>
    <col min="30" max="30" width="13.5703125" style="1" bestFit="1" customWidth="1"/>
    <col min="31" max="31" width="17.5703125" style="1" bestFit="1" customWidth="1"/>
    <col min="32" max="32" width="6.7109375" style="1" bestFit="1" customWidth="1"/>
    <col min="33" max="33" width="13.5703125" style="1" bestFit="1" customWidth="1"/>
    <col min="34" max="34" width="19.140625" style="1" bestFit="1" customWidth="1"/>
    <col min="35" max="35" width="8.7109375" style="1" bestFit="1" customWidth="1"/>
    <col min="36" max="36" width="13.5703125" style="1" bestFit="1" customWidth="1"/>
    <col min="37" max="37" width="19.140625" style="1" bestFit="1" customWidth="1"/>
    <col min="38" max="16384" width="9.140625" style="1"/>
  </cols>
  <sheetData>
    <row r="2" spans="1:49" x14ac:dyDescent="0.25">
      <c r="A2" s="517" t="s">
        <v>123</v>
      </c>
      <c r="B2" s="518"/>
    </row>
    <row r="3" spans="1:49" x14ac:dyDescent="0.25">
      <c r="A3" s="518"/>
      <c r="B3" s="518"/>
    </row>
    <row r="4" spans="1:49" ht="15.75" thickBot="1" x14ac:dyDescent="0.3">
      <c r="A4" s="519"/>
      <c r="B4" s="519"/>
    </row>
    <row r="5" spans="1:49" ht="15.75" thickBot="1" x14ac:dyDescent="0.3">
      <c r="A5" s="7" t="s">
        <v>103</v>
      </c>
      <c r="B5" s="520" t="s">
        <v>4</v>
      </c>
      <c r="C5" s="521"/>
      <c r="D5" s="522"/>
      <c r="E5" s="520" t="s">
        <v>5</v>
      </c>
      <c r="F5" s="521"/>
      <c r="G5" s="522"/>
      <c r="H5" s="520" t="s">
        <v>6</v>
      </c>
      <c r="I5" s="521"/>
      <c r="J5" s="522"/>
      <c r="K5" s="520" t="s">
        <v>7</v>
      </c>
      <c r="L5" s="521"/>
      <c r="M5" s="522"/>
      <c r="N5" s="520" t="s">
        <v>8</v>
      </c>
      <c r="O5" s="521"/>
      <c r="P5" s="522"/>
      <c r="Q5" s="520" t="s">
        <v>41</v>
      </c>
      <c r="R5" s="521"/>
      <c r="S5" s="522"/>
      <c r="T5" s="520" t="s">
        <v>42</v>
      </c>
      <c r="U5" s="521"/>
      <c r="V5" s="522"/>
      <c r="W5" s="520" t="s">
        <v>53</v>
      </c>
      <c r="X5" s="521"/>
      <c r="Y5" s="522"/>
      <c r="Z5" s="520" t="s">
        <v>44</v>
      </c>
      <c r="AA5" s="521"/>
      <c r="AB5" s="522"/>
      <c r="AC5" s="520" t="s">
        <v>45</v>
      </c>
      <c r="AD5" s="521"/>
      <c r="AE5" s="522"/>
      <c r="AF5" s="520" t="s">
        <v>46</v>
      </c>
      <c r="AG5" s="521"/>
      <c r="AH5" s="522"/>
      <c r="AI5" s="520" t="s">
        <v>47</v>
      </c>
      <c r="AJ5" s="521"/>
      <c r="AK5" s="522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ht="15.75" thickBot="1" x14ac:dyDescent="0.3">
      <c r="A6" s="7" t="s">
        <v>56</v>
      </c>
      <c r="B6" s="9" t="s">
        <v>95</v>
      </c>
      <c r="C6" s="226" t="s">
        <v>96</v>
      </c>
      <c r="D6" s="213" t="s">
        <v>97</v>
      </c>
      <c r="E6" s="9" t="s">
        <v>95</v>
      </c>
      <c r="F6" s="226" t="s">
        <v>96</v>
      </c>
      <c r="G6" s="213" t="s">
        <v>97</v>
      </c>
      <c r="H6" s="9" t="s">
        <v>95</v>
      </c>
      <c r="I6" s="226" t="s">
        <v>96</v>
      </c>
      <c r="J6" s="213" t="s">
        <v>97</v>
      </c>
      <c r="K6" s="9" t="s">
        <v>95</v>
      </c>
      <c r="L6" s="226" t="s">
        <v>96</v>
      </c>
      <c r="M6" s="213" t="s">
        <v>97</v>
      </c>
      <c r="N6" s="9" t="s">
        <v>95</v>
      </c>
      <c r="O6" s="226" t="s">
        <v>96</v>
      </c>
      <c r="P6" s="213" t="s">
        <v>97</v>
      </c>
      <c r="Q6" s="9" t="s">
        <v>95</v>
      </c>
      <c r="R6" s="226" t="s">
        <v>96</v>
      </c>
      <c r="S6" s="213" t="s">
        <v>97</v>
      </c>
      <c r="T6" s="9" t="s">
        <v>95</v>
      </c>
      <c r="U6" s="226" t="s">
        <v>96</v>
      </c>
      <c r="V6" s="213" t="s">
        <v>97</v>
      </c>
      <c r="W6" s="9" t="s">
        <v>95</v>
      </c>
      <c r="X6" s="226" t="s">
        <v>96</v>
      </c>
      <c r="Y6" s="213" t="s">
        <v>97</v>
      </c>
      <c r="Z6" s="9" t="s">
        <v>95</v>
      </c>
      <c r="AA6" s="226" t="s">
        <v>96</v>
      </c>
      <c r="AB6" s="213" t="s">
        <v>97</v>
      </c>
      <c r="AC6" s="9" t="s">
        <v>95</v>
      </c>
      <c r="AD6" s="226" t="s">
        <v>96</v>
      </c>
      <c r="AE6" s="213" t="s">
        <v>97</v>
      </c>
      <c r="AF6" s="9" t="s">
        <v>95</v>
      </c>
      <c r="AG6" s="226" t="s">
        <v>96</v>
      </c>
      <c r="AH6" s="213" t="s">
        <v>97</v>
      </c>
      <c r="AI6" s="9" t="s">
        <v>95</v>
      </c>
      <c r="AJ6" s="226" t="s">
        <v>96</v>
      </c>
      <c r="AK6" s="213" t="s">
        <v>97</v>
      </c>
    </row>
    <row r="7" spans="1:49" x14ac:dyDescent="0.25">
      <c r="A7" s="5" t="s">
        <v>248</v>
      </c>
      <c r="B7" s="302">
        <v>1910</v>
      </c>
      <c r="C7" s="303"/>
      <c r="D7" s="214">
        <f>B7*C7</f>
        <v>0</v>
      </c>
      <c r="E7" s="302">
        <v>2300</v>
      </c>
      <c r="F7" s="303"/>
      <c r="G7" s="214">
        <f t="shared" ref="G7:G12" si="0">E7*F7</f>
        <v>0</v>
      </c>
      <c r="H7" s="302">
        <v>2356</v>
      </c>
      <c r="I7" s="303"/>
      <c r="J7" s="214">
        <f t="shared" ref="J7:J12" si="1">H7*I7</f>
        <v>0</v>
      </c>
      <c r="K7" s="302">
        <v>2040</v>
      </c>
      <c r="L7" s="303"/>
      <c r="M7" s="214">
        <f t="shared" ref="M7:M12" si="2">K7*L7</f>
        <v>0</v>
      </c>
      <c r="N7" s="302">
        <v>1767</v>
      </c>
      <c r="O7" s="303"/>
      <c r="P7" s="214">
        <f t="shared" ref="P7:P12" si="3">N7*O7</f>
        <v>0</v>
      </c>
      <c r="Q7" s="302">
        <v>2224</v>
      </c>
      <c r="R7" s="303"/>
      <c r="S7" s="214">
        <f t="shared" ref="S7:S12" si="4">Q7*R7</f>
        <v>0</v>
      </c>
      <c r="T7" s="302">
        <v>1905</v>
      </c>
      <c r="U7" s="303"/>
      <c r="V7" s="214">
        <f t="shared" ref="V7:V12" si="5">T7*U7</f>
        <v>0</v>
      </c>
      <c r="W7" s="302">
        <v>1697</v>
      </c>
      <c r="X7" s="303"/>
      <c r="Y7" s="214">
        <f t="shared" ref="Y7:Y12" si="6">W7*X7</f>
        <v>0</v>
      </c>
      <c r="Z7" s="302">
        <v>1544</v>
      </c>
      <c r="AA7" s="303"/>
      <c r="AB7" s="214">
        <f t="shared" ref="AB7:AB12" si="7">Z7*AA7</f>
        <v>0</v>
      </c>
      <c r="AC7" s="302">
        <v>1398</v>
      </c>
      <c r="AD7" s="303"/>
      <c r="AE7" s="214">
        <f t="shared" ref="AE7:AE12" si="8">AC7*AD7</f>
        <v>0</v>
      </c>
      <c r="AF7" s="302">
        <v>2823</v>
      </c>
      <c r="AG7" s="303"/>
      <c r="AH7" s="214">
        <f t="shared" ref="AH7:AH12" si="9">AF7*AG7</f>
        <v>0</v>
      </c>
      <c r="AI7" s="302">
        <v>3518</v>
      </c>
      <c r="AJ7" s="303"/>
      <c r="AK7" s="214">
        <f t="shared" ref="AK7:AK12" si="10">AI7*AJ7</f>
        <v>0</v>
      </c>
    </row>
    <row r="8" spans="1:49" x14ac:dyDescent="0.25">
      <c r="A8" s="5" t="s">
        <v>249</v>
      </c>
      <c r="B8" s="304">
        <v>1790</v>
      </c>
      <c r="C8" s="305">
        <v>1.081005</v>
      </c>
      <c r="D8" s="215">
        <f t="shared" ref="D8:D12" si="11">B8*C8</f>
        <v>1934.9989499999999</v>
      </c>
      <c r="E8" s="304">
        <v>2200</v>
      </c>
      <c r="F8" s="305">
        <v>1.454545</v>
      </c>
      <c r="G8" s="215">
        <f t="shared" si="0"/>
        <v>3199.9989999999998</v>
      </c>
      <c r="H8" s="304">
        <v>2266</v>
      </c>
      <c r="I8" s="305">
        <v>1.0551630000000001</v>
      </c>
      <c r="J8" s="215">
        <f t="shared" si="1"/>
        <v>2390.999358</v>
      </c>
      <c r="K8" s="304">
        <v>1950</v>
      </c>
      <c r="L8" s="305">
        <v>1.0641</v>
      </c>
      <c r="M8" s="215">
        <f t="shared" si="2"/>
        <v>2074.9949999999999</v>
      </c>
      <c r="N8" s="304">
        <v>1767</v>
      </c>
      <c r="O8" s="305">
        <v>1.038856</v>
      </c>
      <c r="P8" s="215">
        <f t="shared" si="3"/>
        <v>1835.6585520000001</v>
      </c>
      <c r="Q8" s="304">
        <v>2134</v>
      </c>
      <c r="R8" s="305">
        <v>1.058575</v>
      </c>
      <c r="S8" s="215">
        <f t="shared" si="4"/>
        <v>2258.9990499999999</v>
      </c>
      <c r="T8" s="304">
        <v>1815</v>
      </c>
      <c r="U8" s="305">
        <v>1.110743</v>
      </c>
      <c r="V8" s="215">
        <f t="shared" si="5"/>
        <v>2015.9985450000001</v>
      </c>
      <c r="W8" s="304">
        <v>1607</v>
      </c>
      <c r="X8" s="305">
        <v>1.106004</v>
      </c>
      <c r="Y8" s="215">
        <f t="shared" si="6"/>
        <v>1777.348428</v>
      </c>
      <c r="Z8" s="304">
        <v>1454</v>
      </c>
      <c r="AA8" s="305">
        <v>1.1273727</v>
      </c>
      <c r="AB8" s="215">
        <f t="shared" si="7"/>
        <v>1639.1999057999999</v>
      </c>
      <c r="AC8" s="304">
        <v>1308</v>
      </c>
      <c r="AD8" s="305">
        <v>1.136009</v>
      </c>
      <c r="AE8" s="215">
        <f t="shared" si="8"/>
        <v>1485.899772</v>
      </c>
      <c r="AF8" s="304">
        <v>2333</v>
      </c>
      <c r="AG8" s="305">
        <v>1.1078653999999999</v>
      </c>
      <c r="AH8" s="215">
        <f t="shared" si="9"/>
        <v>2584.6499781999996</v>
      </c>
      <c r="AI8" s="304">
        <v>2588</v>
      </c>
      <c r="AJ8" s="305">
        <v>1.110857</v>
      </c>
      <c r="AK8" s="215">
        <f t="shared" si="10"/>
        <v>2874.8979159999999</v>
      </c>
    </row>
    <row r="9" spans="1:49" x14ac:dyDescent="0.25">
      <c r="A9" s="5" t="s">
        <v>333</v>
      </c>
      <c r="B9" s="304"/>
      <c r="C9" s="305"/>
      <c r="D9" s="215">
        <f t="shared" si="11"/>
        <v>0</v>
      </c>
      <c r="E9" s="304"/>
      <c r="F9" s="305"/>
      <c r="G9" s="215">
        <f t="shared" si="0"/>
        <v>0</v>
      </c>
      <c r="H9" s="304"/>
      <c r="I9" s="305"/>
      <c r="J9" s="215">
        <f t="shared" si="1"/>
        <v>0</v>
      </c>
      <c r="K9" s="304"/>
      <c r="L9" s="305"/>
      <c r="M9" s="215">
        <f t="shared" si="2"/>
        <v>0</v>
      </c>
      <c r="N9" s="304"/>
      <c r="O9" s="305"/>
      <c r="P9" s="215">
        <f t="shared" si="3"/>
        <v>0</v>
      </c>
      <c r="Q9" s="304"/>
      <c r="R9" s="305"/>
      <c r="S9" s="215">
        <f t="shared" si="4"/>
        <v>0</v>
      </c>
      <c r="T9" s="304"/>
      <c r="U9" s="305"/>
      <c r="V9" s="215">
        <f t="shared" si="5"/>
        <v>0</v>
      </c>
      <c r="W9" s="304"/>
      <c r="X9" s="305"/>
      <c r="Y9" s="215">
        <f t="shared" si="6"/>
        <v>0</v>
      </c>
      <c r="Z9" s="304"/>
      <c r="AA9" s="305"/>
      <c r="AB9" s="215">
        <f t="shared" si="7"/>
        <v>0</v>
      </c>
      <c r="AC9" s="304"/>
      <c r="AD9" s="305"/>
      <c r="AE9" s="215">
        <f t="shared" si="8"/>
        <v>0</v>
      </c>
      <c r="AF9" s="304"/>
      <c r="AG9" s="305"/>
      <c r="AH9" s="215">
        <f t="shared" si="9"/>
        <v>0</v>
      </c>
      <c r="AI9" s="304">
        <v>1</v>
      </c>
      <c r="AJ9" s="305">
        <v>350</v>
      </c>
      <c r="AK9" s="215">
        <f t="shared" si="10"/>
        <v>350</v>
      </c>
    </row>
    <row r="10" spans="1:49" x14ac:dyDescent="0.25">
      <c r="A10" s="5" t="s">
        <v>54</v>
      </c>
      <c r="B10" s="304"/>
      <c r="C10" s="305"/>
      <c r="D10" s="215">
        <f t="shared" si="11"/>
        <v>0</v>
      </c>
      <c r="E10" s="304"/>
      <c r="F10" s="305"/>
      <c r="G10" s="215">
        <f t="shared" si="0"/>
        <v>0</v>
      </c>
      <c r="H10" s="304"/>
      <c r="I10" s="305"/>
      <c r="J10" s="215">
        <f t="shared" si="1"/>
        <v>0</v>
      </c>
      <c r="K10" s="304"/>
      <c r="L10" s="305"/>
      <c r="M10" s="215">
        <f t="shared" si="2"/>
        <v>0</v>
      </c>
      <c r="N10" s="304"/>
      <c r="O10" s="305"/>
      <c r="P10" s="215">
        <f t="shared" si="3"/>
        <v>0</v>
      </c>
      <c r="Q10" s="304">
        <v>1</v>
      </c>
      <c r="R10" s="305">
        <v>493</v>
      </c>
      <c r="S10" s="215">
        <f t="shared" si="4"/>
        <v>493</v>
      </c>
      <c r="T10" s="304"/>
      <c r="U10" s="305"/>
      <c r="V10" s="215">
        <f t="shared" si="5"/>
        <v>0</v>
      </c>
      <c r="W10" s="304"/>
      <c r="X10" s="305"/>
      <c r="Y10" s="215">
        <f t="shared" si="6"/>
        <v>0</v>
      </c>
      <c r="Z10" s="304"/>
      <c r="AA10" s="305"/>
      <c r="AB10" s="215">
        <f t="shared" si="7"/>
        <v>0</v>
      </c>
      <c r="AC10" s="304"/>
      <c r="AD10" s="305"/>
      <c r="AE10" s="215">
        <f t="shared" si="8"/>
        <v>0</v>
      </c>
      <c r="AF10" s="304"/>
      <c r="AG10" s="305"/>
      <c r="AH10" s="215">
        <f t="shared" si="9"/>
        <v>0</v>
      </c>
      <c r="AI10" s="304"/>
      <c r="AJ10" s="305"/>
      <c r="AK10" s="215">
        <f t="shared" si="10"/>
        <v>0</v>
      </c>
    </row>
    <row r="11" spans="1:49" x14ac:dyDescent="0.25">
      <c r="A11" s="5" t="s">
        <v>250</v>
      </c>
      <c r="B11" s="304"/>
      <c r="C11" s="305"/>
      <c r="D11" s="215">
        <f t="shared" si="11"/>
        <v>0</v>
      </c>
      <c r="E11" s="304"/>
      <c r="F11" s="305"/>
      <c r="G11" s="215">
        <f t="shared" si="0"/>
        <v>0</v>
      </c>
      <c r="H11" s="304"/>
      <c r="I11" s="305"/>
      <c r="J11" s="215">
        <f t="shared" si="1"/>
        <v>0</v>
      </c>
      <c r="K11" s="304"/>
      <c r="L11" s="305"/>
      <c r="M11" s="215">
        <f t="shared" si="2"/>
        <v>0</v>
      </c>
      <c r="N11" s="304"/>
      <c r="O11" s="305"/>
      <c r="P11" s="215">
        <f t="shared" si="3"/>
        <v>0</v>
      </c>
      <c r="Q11" s="304"/>
      <c r="R11" s="305"/>
      <c r="S11" s="215">
        <f t="shared" si="4"/>
        <v>0</v>
      </c>
      <c r="T11" s="304"/>
      <c r="U11" s="305"/>
      <c r="V11" s="215">
        <f t="shared" si="5"/>
        <v>0</v>
      </c>
      <c r="W11" s="304"/>
      <c r="X11" s="305"/>
      <c r="Y11" s="215">
        <f t="shared" si="6"/>
        <v>0</v>
      </c>
      <c r="Z11" s="304"/>
      <c r="AA11" s="305"/>
      <c r="AB11" s="215">
        <f t="shared" si="7"/>
        <v>0</v>
      </c>
      <c r="AC11" s="304"/>
      <c r="AD11" s="305"/>
      <c r="AE11" s="215">
        <f t="shared" si="8"/>
        <v>0</v>
      </c>
      <c r="AF11" s="304"/>
      <c r="AG11" s="305"/>
      <c r="AH11" s="215">
        <f t="shared" si="9"/>
        <v>0</v>
      </c>
      <c r="AI11" s="304"/>
      <c r="AJ11" s="305"/>
      <c r="AK11" s="215">
        <f t="shared" si="10"/>
        <v>0</v>
      </c>
    </row>
    <row r="12" spans="1:49" ht="15.75" thickBot="1" x14ac:dyDescent="0.3">
      <c r="A12" s="5" t="s">
        <v>55</v>
      </c>
      <c r="B12" s="306"/>
      <c r="C12" s="307"/>
      <c r="D12" s="216">
        <f t="shared" si="11"/>
        <v>0</v>
      </c>
      <c r="E12" s="306"/>
      <c r="F12" s="307"/>
      <c r="G12" s="216">
        <f t="shared" si="0"/>
        <v>0</v>
      </c>
      <c r="H12" s="306"/>
      <c r="I12" s="307"/>
      <c r="J12" s="216">
        <f t="shared" si="1"/>
        <v>0</v>
      </c>
      <c r="K12" s="306"/>
      <c r="L12" s="307"/>
      <c r="M12" s="216">
        <f t="shared" si="2"/>
        <v>0</v>
      </c>
      <c r="N12" s="306"/>
      <c r="O12" s="307"/>
      <c r="P12" s="216">
        <f t="shared" si="3"/>
        <v>0</v>
      </c>
      <c r="Q12" s="306"/>
      <c r="R12" s="307"/>
      <c r="S12" s="216">
        <f t="shared" si="4"/>
        <v>0</v>
      </c>
      <c r="T12" s="306"/>
      <c r="U12" s="307"/>
      <c r="V12" s="216">
        <f t="shared" si="5"/>
        <v>0</v>
      </c>
      <c r="W12" s="306"/>
      <c r="X12" s="307"/>
      <c r="Y12" s="216">
        <f t="shared" si="6"/>
        <v>0</v>
      </c>
      <c r="Z12" s="306"/>
      <c r="AA12" s="307"/>
      <c r="AB12" s="216">
        <f t="shared" si="7"/>
        <v>0</v>
      </c>
      <c r="AC12" s="306"/>
      <c r="AD12" s="307"/>
      <c r="AE12" s="216">
        <f t="shared" si="8"/>
        <v>0</v>
      </c>
      <c r="AF12" s="306"/>
      <c r="AG12" s="307"/>
      <c r="AH12" s="216">
        <f t="shared" si="9"/>
        <v>0</v>
      </c>
      <c r="AI12" s="306"/>
      <c r="AJ12" s="307"/>
      <c r="AK12" s="216">
        <f t="shared" si="10"/>
        <v>0</v>
      </c>
    </row>
    <row r="13" spans="1:49" ht="15.75" thickBot="1" x14ac:dyDescent="0.3">
      <c r="A13" s="7" t="s">
        <v>102</v>
      </c>
      <c r="B13" s="12">
        <f>SUM(B8:B12)</f>
        <v>1790</v>
      </c>
      <c r="C13" s="227"/>
      <c r="D13" s="217">
        <f>SUM(D7:D12)</f>
        <v>1934.9989499999999</v>
      </c>
      <c r="E13" s="12">
        <f>SUM(E8:E12)</f>
        <v>2200</v>
      </c>
      <c r="F13" s="227"/>
      <c r="G13" s="217">
        <f t="shared" ref="G13" si="12">SUM(G7:G12)</f>
        <v>3199.9989999999998</v>
      </c>
      <c r="H13" s="12">
        <f>SUM(H8:H12)</f>
        <v>2266</v>
      </c>
      <c r="I13" s="227"/>
      <c r="J13" s="217">
        <f t="shared" ref="J13" si="13">SUM(J7:J12)</f>
        <v>2390.999358</v>
      </c>
      <c r="K13" s="12">
        <f>SUM(K8:K12)</f>
        <v>1950</v>
      </c>
      <c r="L13" s="227"/>
      <c r="M13" s="217">
        <f t="shared" ref="M13" si="14">SUM(M7:M12)</f>
        <v>2074.9949999999999</v>
      </c>
      <c r="N13" s="12">
        <f>SUM(N8:N12)</f>
        <v>1767</v>
      </c>
      <c r="O13" s="227"/>
      <c r="P13" s="217">
        <f t="shared" ref="P13" si="15">SUM(P7:P12)</f>
        <v>1835.6585520000001</v>
      </c>
      <c r="Q13" s="12">
        <f>SUM(Q8:Q12)</f>
        <v>2135</v>
      </c>
      <c r="R13" s="227"/>
      <c r="S13" s="217">
        <f t="shared" ref="S13" si="16">SUM(S7:S12)</f>
        <v>2751.9990499999999</v>
      </c>
      <c r="T13" s="12">
        <f>SUM(T8:T12)</f>
        <v>1815</v>
      </c>
      <c r="U13" s="227"/>
      <c r="V13" s="217">
        <f t="shared" ref="V13" si="17">SUM(V7:V12)</f>
        <v>2015.9985450000001</v>
      </c>
      <c r="W13" s="12">
        <f>SUM(W8:W12)</f>
        <v>1607</v>
      </c>
      <c r="X13" s="227"/>
      <c r="Y13" s="217">
        <f t="shared" ref="Y13" si="18">SUM(Y7:Y12)</f>
        <v>1777.348428</v>
      </c>
      <c r="Z13" s="12">
        <f>SUM(Z8:Z12)</f>
        <v>1454</v>
      </c>
      <c r="AA13" s="227"/>
      <c r="AB13" s="217">
        <f t="shared" ref="AB13" si="19">SUM(AB7:AB12)</f>
        <v>1639.1999057999999</v>
      </c>
      <c r="AC13" s="12">
        <f>SUM(AC8:AC12)</f>
        <v>1308</v>
      </c>
      <c r="AD13" s="227"/>
      <c r="AE13" s="217">
        <f t="shared" ref="AE13" si="20">SUM(AE7:AE12)</f>
        <v>1485.899772</v>
      </c>
      <c r="AF13" s="12">
        <f>SUM(AF8:AF12)</f>
        <v>2333</v>
      </c>
      <c r="AG13" s="227"/>
      <c r="AH13" s="217">
        <f t="shared" ref="AH13" si="21">SUM(AH7:AH12)</f>
        <v>2584.6499781999996</v>
      </c>
      <c r="AI13" s="12">
        <f>SUM(AI8:AI12)</f>
        <v>2589</v>
      </c>
      <c r="AJ13" s="227"/>
      <c r="AK13" s="217">
        <f t="shared" ref="AK13" si="22">SUM(AK7:AK12)</f>
        <v>3224.8979159999999</v>
      </c>
    </row>
    <row r="14" spans="1:49" ht="15.75" thickBot="1" x14ac:dyDescent="0.3">
      <c r="A14" s="13" t="s">
        <v>251</v>
      </c>
      <c r="B14" s="14"/>
      <c r="C14" s="228"/>
      <c r="D14" s="218"/>
      <c r="E14" s="14"/>
      <c r="F14" s="228"/>
      <c r="G14" s="218"/>
      <c r="H14" s="14"/>
      <c r="I14" s="228"/>
      <c r="J14" s="218"/>
      <c r="K14" s="14"/>
      <c r="L14" s="228"/>
      <c r="M14" s="218"/>
      <c r="N14" s="14"/>
      <c r="O14" s="228"/>
      <c r="P14" s="218"/>
      <c r="Q14" s="14"/>
      <c r="R14" s="228"/>
      <c r="S14" s="218"/>
      <c r="T14" s="14"/>
      <c r="U14" s="228"/>
      <c r="V14" s="218"/>
      <c r="W14" s="14"/>
      <c r="X14" s="228"/>
      <c r="Y14" s="218"/>
      <c r="Z14" s="14"/>
      <c r="AA14" s="228"/>
      <c r="AB14" s="218"/>
      <c r="AC14" s="14"/>
      <c r="AD14" s="228"/>
      <c r="AE14" s="218"/>
      <c r="AF14" s="14"/>
      <c r="AG14" s="228"/>
      <c r="AH14" s="218"/>
      <c r="AI14" s="14"/>
      <c r="AJ14" s="228"/>
      <c r="AK14" s="218"/>
    </row>
    <row r="15" spans="1:49" x14ac:dyDescent="0.25">
      <c r="A15" s="15"/>
      <c r="B15" s="16" t="s">
        <v>95</v>
      </c>
      <c r="C15" s="229" t="s">
        <v>96</v>
      </c>
      <c r="D15" s="219" t="s">
        <v>97</v>
      </c>
      <c r="E15" s="16" t="s">
        <v>95</v>
      </c>
      <c r="F15" s="229" t="s">
        <v>96</v>
      </c>
      <c r="G15" s="219" t="s">
        <v>97</v>
      </c>
      <c r="H15" s="16" t="s">
        <v>95</v>
      </c>
      <c r="I15" s="229" t="s">
        <v>96</v>
      </c>
      <c r="J15" s="219" t="s">
        <v>97</v>
      </c>
      <c r="K15" s="16" t="s">
        <v>95</v>
      </c>
      <c r="L15" s="229" t="s">
        <v>96</v>
      </c>
      <c r="M15" s="219" t="s">
        <v>97</v>
      </c>
      <c r="N15" s="16" t="s">
        <v>95</v>
      </c>
      <c r="O15" s="229" t="s">
        <v>96</v>
      </c>
      <c r="P15" s="219" t="s">
        <v>97</v>
      </c>
      <c r="Q15" s="16" t="s">
        <v>95</v>
      </c>
      <c r="R15" s="229" t="s">
        <v>96</v>
      </c>
      <c r="S15" s="219" t="s">
        <v>97</v>
      </c>
      <c r="T15" s="16" t="s">
        <v>95</v>
      </c>
      <c r="U15" s="229" t="s">
        <v>96</v>
      </c>
      <c r="V15" s="219" t="s">
        <v>97</v>
      </c>
      <c r="W15" s="16" t="s">
        <v>95</v>
      </c>
      <c r="X15" s="229" t="s">
        <v>96</v>
      </c>
      <c r="Y15" s="219" t="s">
        <v>97</v>
      </c>
      <c r="Z15" s="16" t="s">
        <v>95</v>
      </c>
      <c r="AA15" s="229" t="s">
        <v>96</v>
      </c>
      <c r="AB15" s="219" t="s">
        <v>97</v>
      </c>
      <c r="AC15" s="16" t="s">
        <v>95</v>
      </c>
      <c r="AD15" s="229" t="s">
        <v>96</v>
      </c>
      <c r="AE15" s="219" t="s">
        <v>97</v>
      </c>
      <c r="AF15" s="16" t="s">
        <v>95</v>
      </c>
      <c r="AG15" s="229" t="s">
        <v>96</v>
      </c>
      <c r="AH15" s="219" t="s">
        <v>97</v>
      </c>
      <c r="AI15" s="16" t="s">
        <v>95</v>
      </c>
      <c r="AJ15" s="229" t="s">
        <v>96</v>
      </c>
      <c r="AK15" s="219" t="s">
        <v>97</v>
      </c>
    </row>
    <row r="16" spans="1:49" x14ac:dyDescent="0.25">
      <c r="A16" s="17" t="s">
        <v>57</v>
      </c>
      <c r="B16" s="311"/>
      <c r="C16" s="303"/>
      <c r="D16" s="214">
        <f>B16*C16</f>
        <v>0</v>
      </c>
      <c r="E16" s="311"/>
      <c r="F16" s="303"/>
      <c r="G16" s="214">
        <f t="shared" ref="G16:G26" si="23">E16*F16</f>
        <v>0</v>
      </c>
      <c r="H16" s="311"/>
      <c r="I16" s="303"/>
      <c r="J16" s="214">
        <f t="shared" ref="J16:J26" si="24">H16*I16</f>
        <v>0</v>
      </c>
      <c r="K16" s="311"/>
      <c r="L16" s="303"/>
      <c r="M16" s="214">
        <f t="shared" ref="M16:M26" si="25">K16*L16</f>
        <v>0</v>
      </c>
      <c r="N16" s="311"/>
      <c r="O16" s="303"/>
      <c r="P16" s="214">
        <f t="shared" ref="P16:P26" si="26">N16*O16</f>
        <v>0</v>
      </c>
      <c r="Q16" s="311"/>
      <c r="R16" s="303"/>
      <c r="S16" s="214">
        <f t="shared" ref="S16:S26" si="27">Q16*R16</f>
        <v>0</v>
      </c>
      <c r="T16" s="311">
        <v>8</v>
      </c>
      <c r="U16" s="303">
        <v>30</v>
      </c>
      <c r="V16" s="214">
        <f t="shared" ref="V16:V26" si="28">T16*U16</f>
        <v>240</v>
      </c>
      <c r="W16" s="311"/>
      <c r="X16" s="303"/>
      <c r="Y16" s="214">
        <f t="shared" ref="Y16:Y26" si="29">W16*X16</f>
        <v>0</v>
      </c>
      <c r="Z16" s="311"/>
      <c r="AA16" s="303"/>
      <c r="AB16" s="214">
        <f t="shared" ref="AB16:AB26" si="30">Z16*AA16</f>
        <v>0</v>
      </c>
      <c r="AC16" s="311"/>
      <c r="AD16" s="303"/>
      <c r="AE16" s="214">
        <f t="shared" ref="AE16:AE26" si="31">AC16*AD16</f>
        <v>0</v>
      </c>
      <c r="AF16" s="311"/>
      <c r="AG16" s="303"/>
      <c r="AH16" s="214">
        <f t="shared" ref="AH16:AH26" si="32">AF16*AG16</f>
        <v>0</v>
      </c>
      <c r="AI16" s="311"/>
      <c r="AJ16" s="303"/>
      <c r="AK16" s="214">
        <f t="shared" ref="AK16:AK26" si="33">AI16*AJ16</f>
        <v>0</v>
      </c>
    </row>
    <row r="17" spans="1:37" x14ac:dyDescent="0.25">
      <c r="A17" s="15" t="s">
        <v>252</v>
      </c>
      <c r="B17" s="312">
        <v>4</v>
      </c>
      <c r="C17" s="305">
        <v>30</v>
      </c>
      <c r="D17" s="215">
        <f t="shared" ref="D17:D26" si="34">B17*C17</f>
        <v>120</v>
      </c>
      <c r="E17" s="312">
        <v>4</v>
      </c>
      <c r="F17" s="305">
        <v>30</v>
      </c>
      <c r="G17" s="215">
        <f t="shared" si="23"/>
        <v>120</v>
      </c>
      <c r="H17" s="312">
        <v>1</v>
      </c>
      <c r="I17" s="305">
        <v>120</v>
      </c>
      <c r="J17" s="215">
        <f t="shared" si="24"/>
        <v>120</v>
      </c>
      <c r="K17" s="312">
        <v>4</v>
      </c>
      <c r="L17" s="305">
        <v>30</v>
      </c>
      <c r="M17" s="215">
        <f t="shared" si="25"/>
        <v>120</v>
      </c>
      <c r="N17" s="312"/>
      <c r="O17" s="305"/>
      <c r="P17" s="215">
        <f t="shared" si="26"/>
        <v>0</v>
      </c>
      <c r="Q17" s="312">
        <v>6</v>
      </c>
      <c r="R17" s="305">
        <v>30</v>
      </c>
      <c r="S17" s="215">
        <f t="shared" si="27"/>
        <v>180</v>
      </c>
      <c r="T17" s="312">
        <v>1</v>
      </c>
      <c r="U17" s="305">
        <v>88</v>
      </c>
      <c r="V17" s="215">
        <f t="shared" si="28"/>
        <v>88</v>
      </c>
      <c r="W17" s="312">
        <v>8</v>
      </c>
      <c r="X17" s="305">
        <v>35</v>
      </c>
      <c r="Y17" s="215">
        <f t="shared" si="29"/>
        <v>280</v>
      </c>
      <c r="Z17" s="312">
        <v>8</v>
      </c>
      <c r="AA17" s="305">
        <v>35</v>
      </c>
      <c r="AB17" s="215">
        <f t="shared" si="30"/>
        <v>280</v>
      </c>
      <c r="AC17" s="312">
        <v>8</v>
      </c>
      <c r="AD17" s="305">
        <v>35</v>
      </c>
      <c r="AE17" s="215">
        <f t="shared" si="31"/>
        <v>280</v>
      </c>
      <c r="AF17" s="312">
        <v>6</v>
      </c>
      <c r="AG17" s="305">
        <v>35</v>
      </c>
      <c r="AH17" s="215">
        <f t="shared" si="32"/>
        <v>210</v>
      </c>
      <c r="AI17" s="312">
        <v>3</v>
      </c>
      <c r="AJ17" s="305">
        <v>35</v>
      </c>
      <c r="AK17" s="215">
        <f t="shared" si="33"/>
        <v>105</v>
      </c>
    </row>
    <row r="18" spans="1:37" x14ac:dyDescent="0.25">
      <c r="A18" s="15" t="s">
        <v>253</v>
      </c>
      <c r="B18" s="312">
        <v>1</v>
      </c>
      <c r="C18" s="305">
        <v>280</v>
      </c>
      <c r="D18" s="215">
        <f t="shared" si="34"/>
        <v>280</v>
      </c>
      <c r="E18" s="312">
        <v>1</v>
      </c>
      <c r="F18" s="305">
        <v>187</v>
      </c>
      <c r="G18" s="215">
        <f t="shared" si="23"/>
        <v>187</v>
      </c>
      <c r="H18" s="312">
        <v>1</v>
      </c>
      <c r="I18" s="305">
        <v>225</v>
      </c>
      <c r="J18" s="215">
        <f t="shared" si="24"/>
        <v>225</v>
      </c>
      <c r="K18" s="312">
        <v>2</v>
      </c>
      <c r="L18" s="305">
        <v>118.5</v>
      </c>
      <c r="M18" s="215">
        <f t="shared" si="25"/>
        <v>237</v>
      </c>
      <c r="N18" s="312">
        <v>1</v>
      </c>
      <c r="O18" s="305">
        <v>237</v>
      </c>
      <c r="P18" s="215">
        <f t="shared" si="26"/>
        <v>237</v>
      </c>
      <c r="Q18" s="312">
        <v>1</v>
      </c>
      <c r="R18" s="305">
        <v>187</v>
      </c>
      <c r="S18" s="215">
        <f t="shared" si="27"/>
        <v>187</v>
      </c>
      <c r="T18" s="312">
        <v>1</v>
      </c>
      <c r="U18" s="305">
        <v>100</v>
      </c>
      <c r="V18" s="215">
        <f t="shared" si="28"/>
        <v>100</v>
      </c>
      <c r="W18" s="312">
        <v>1</v>
      </c>
      <c r="X18" s="305">
        <v>60</v>
      </c>
      <c r="Y18" s="215">
        <f t="shared" si="29"/>
        <v>60</v>
      </c>
      <c r="Z18" s="312">
        <v>1</v>
      </c>
      <c r="AA18" s="305">
        <v>72</v>
      </c>
      <c r="AB18" s="215">
        <f t="shared" si="30"/>
        <v>72</v>
      </c>
      <c r="AC18" s="312">
        <v>1</v>
      </c>
      <c r="AD18" s="305">
        <v>206</v>
      </c>
      <c r="AE18" s="215">
        <f t="shared" si="31"/>
        <v>206</v>
      </c>
      <c r="AF18" s="312">
        <v>1</v>
      </c>
      <c r="AG18" s="305">
        <v>225</v>
      </c>
      <c r="AH18" s="215">
        <f t="shared" si="32"/>
        <v>225</v>
      </c>
      <c r="AI18" s="312">
        <v>1</v>
      </c>
      <c r="AJ18" s="305">
        <v>220</v>
      </c>
      <c r="AK18" s="215">
        <f t="shared" si="33"/>
        <v>220</v>
      </c>
    </row>
    <row r="19" spans="1:37" x14ac:dyDescent="0.25">
      <c r="A19" s="15" t="s">
        <v>254</v>
      </c>
      <c r="B19" s="312">
        <v>1</v>
      </c>
      <c r="C19" s="305">
        <v>59</v>
      </c>
      <c r="D19" s="215">
        <f t="shared" si="34"/>
        <v>59</v>
      </c>
      <c r="E19" s="312">
        <v>1</v>
      </c>
      <c r="F19" s="305">
        <v>50</v>
      </c>
      <c r="G19" s="215">
        <f t="shared" si="23"/>
        <v>50</v>
      </c>
      <c r="H19" s="312">
        <v>1</v>
      </c>
      <c r="I19" s="305">
        <v>100</v>
      </c>
      <c r="J19" s="215">
        <f t="shared" si="24"/>
        <v>100</v>
      </c>
      <c r="K19" s="312">
        <v>1</v>
      </c>
      <c r="L19" s="305">
        <v>100</v>
      </c>
      <c r="M19" s="215">
        <f t="shared" si="25"/>
        <v>100</v>
      </c>
      <c r="N19" s="312">
        <v>1</v>
      </c>
      <c r="O19" s="305">
        <v>150</v>
      </c>
      <c r="P19" s="215">
        <f t="shared" si="26"/>
        <v>150</v>
      </c>
      <c r="Q19" s="312">
        <v>1</v>
      </c>
      <c r="R19" s="305">
        <v>150</v>
      </c>
      <c r="S19" s="215">
        <f t="shared" si="27"/>
        <v>150</v>
      </c>
      <c r="T19" s="312"/>
      <c r="U19" s="305"/>
      <c r="V19" s="215">
        <f t="shared" si="28"/>
        <v>0</v>
      </c>
      <c r="W19" s="312">
        <v>1</v>
      </c>
      <c r="X19" s="305">
        <v>100</v>
      </c>
      <c r="Y19" s="215">
        <f t="shared" si="29"/>
        <v>100</v>
      </c>
      <c r="Z19" s="312">
        <v>1</v>
      </c>
      <c r="AA19" s="305">
        <v>100</v>
      </c>
      <c r="AB19" s="215">
        <f t="shared" si="30"/>
        <v>100</v>
      </c>
      <c r="AC19" s="312">
        <v>1</v>
      </c>
      <c r="AD19" s="305">
        <v>100</v>
      </c>
      <c r="AE19" s="215">
        <f t="shared" si="31"/>
        <v>100</v>
      </c>
      <c r="AF19" s="312">
        <v>1</v>
      </c>
      <c r="AG19" s="305">
        <v>100</v>
      </c>
      <c r="AH19" s="215">
        <f t="shared" si="32"/>
        <v>100</v>
      </c>
      <c r="AI19" s="312">
        <v>1</v>
      </c>
      <c r="AJ19" s="305">
        <v>150</v>
      </c>
      <c r="AK19" s="215">
        <f t="shared" si="33"/>
        <v>150</v>
      </c>
    </row>
    <row r="20" spans="1:37" x14ac:dyDescent="0.25">
      <c r="A20" s="15" t="s">
        <v>334</v>
      </c>
      <c r="B20" s="312">
        <v>120</v>
      </c>
      <c r="C20" s="305">
        <v>1.081005</v>
      </c>
      <c r="D20" s="215">
        <f t="shared" si="34"/>
        <v>129.72059999999999</v>
      </c>
      <c r="E20" s="312">
        <v>100</v>
      </c>
      <c r="F20" s="305">
        <v>1.454545</v>
      </c>
      <c r="G20" s="215">
        <f t="shared" si="23"/>
        <v>145.4545</v>
      </c>
      <c r="H20" s="312">
        <v>90</v>
      </c>
      <c r="I20" s="305">
        <v>1.06</v>
      </c>
      <c r="J20" s="215">
        <f t="shared" si="24"/>
        <v>95.4</v>
      </c>
      <c r="K20" s="312">
        <v>90</v>
      </c>
      <c r="L20" s="305">
        <v>1.06</v>
      </c>
      <c r="M20" s="215">
        <f t="shared" si="25"/>
        <v>95.4</v>
      </c>
      <c r="N20" s="312"/>
      <c r="O20" s="305"/>
      <c r="P20" s="215">
        <f t="shared" si="26"/>
        <v>0</v>
      </c>
      <c r="Q20" s="312">
        <v>90</v>
      </c>
      <c r="R20" s="305">
        <v>1.058575</v>
      </c>
      <c r="S20" s="215">
        <f t="shared" si="27"/>
        <v>95.271749999999997</v>
      </c>
      <c r="T20" s="312"/>
      <c r="U20" s="305"/>
      <c r="V20" s="215">
        <f t="shared" si="28"/>
        <v>0</v>
      </c>
      <c r="W20" s="312"/>
      <c r="X20" s="305"/>
      <c r="Y20" s="215">
        <f t="shared" si="29"/>
        <v>0</v>
      </c>
      <c r="Z20" s="312">
        <v>90</v>
      </c>
      <c r="AA20" s="305">
        <v>1.1273727</v>
      </c>
      <c r="AB20" s="215">
        <f t="shared" si="30"/>
        <v>101.463543</v>
      </c>
      <c r="AC20" s="312">
        <v>90</v>
      </c>
      <c r="AD20" s="305">
        <v>1.136009</v>
      </c>
      <c r="AE20" s="215">
        <f t="shared" si="31"/>
        <v>102.24081000000001</v>
      </c>
      <c r="AF20" s="312">
        <v>90</v>
      </c>
      <c r="AG20" s="305">
        <v>1.1078653999999999</v>
      </c>
      <c r="AH20" s="215">
        <f t="shared" si="32"/>
        <v>99.707885999999988</v>
      </c>
      <c r="AI20" s="312">
        <v>90</v>
      </c>
      <c r="AJ20" s="305">
        <v>1.110857</v>
      </c>
      <c r="AK20" s="215">
        <f t="shared" si="33"/>
        <v>99.977130000000002</v>
      </c>
    </row>
    <row r="21" spans="1:37" x14ac:dyDescent="0.25">
      <c r="A21" s="15" t="s">
        <v>58</v>
      </c>
      <c r="B21" s="312"/>
      <c r="C21" s="305"/>
      <c r="D21" s="215">
        <f t="shared" si="34"/>
        <v>0</v>
      </c>
      <c r="E21" s="312"/>
      <c r="F21" s="305"/>
      <c r="G21" s="215">
        <f t="shared" si="23"/>
        <v>0</v>
      </c>
      <c r="H21" s="312"/>
      <c r="I21" s="305"/>
      <c r="J21" s="215">
        <f t="shared" si="24"/>
        <v>0</v>
      </c>
      <c r="K21" s="312"/>
      <c r="L21" s="305"/>
      <c r="M21" s="215">
        <f t="shared" si="25"/>
        <v>0</v>
      </c>
      <c r="N21" s="312"/>
      <c r="O21" s="305"/>
      <c r="P21" s="215">
        <f t="shared" si="26"/>
        <v>0</v>
      </c>
      <c r="Q21" s="312"/>
      <c r="R21" s="305"/>
      <c r="S21" s="215">
        <f t="shared" si="27"/>
        <v>0</v>
      </c>
      <c r="T21" s="312"/>
      <c r="U21" s="305"/>
      <c r="V21" s="215">
        <f t="shared" si="28"/>
        <v>0</v>
      </c>
      <c r="W21" s="312"/>
      <c r="X21" s="305"/>
      <c r="Y21" s="215">
        <f t="shared" si="29"/>
        <v>0</v>
      </c>
      <c r="Z21" s="312"/>
      <c r="AA21" s="305"/>
      <c r="AB21" s="215">
        <f t="shared" si="30"/>
        <v>0</v>
      </c>
      <c r="AC21" s="312"/>
      <c r="AD21" s="305"/>
      <c r="AE21" s="215">
        <f t="shared" si="31"/>
        <v>0</v>
      </c>
      <c r="AF21" s="312">
        <v>400</v>
      </c>
      <c r="AG21" s="305">
        <v>1.1078653999999999</v>
      </c>
      <c r="AH21" s="215">
        <f t="shared" si="32"/>
        <v>443.14615999999995</v>
      </c>
      <c r="AI21" s="312">
        <v>840</v>
      </c>
      <c r="AJ21" s="305">
        <v>1.110857</v>
      </c>
      <c r="AK21" s="215">
        <f t="shared" si="33"/>
        <v>933.11987999999997</v>
      </c>
    </row>
    <row r="22" spans="1:37" x14ac:dyDescent="0.25">
      <c r="A22" s="15" t="s">
        <v>59</v>
      </c>
      <c r="B22" s="312"/>
      <c r="C22" s="305"/>
      <c r="D22" s="215">
        <f t="shared" si="34"/>
        <v>0</v>
      </c>
      <c r="E22" s="312"/>
      <c r="F22" s="305"/>
      <c r="G22" s="215">
        <f t="shared" si="23"/>
        <v>0</v>
      </c>
      <c r="H22" s="312"/>
      <c r="I22" s="305"/>
      <c r="J22" s="215">
        <f t="shared" si="24"/>
        <v>0</v>
      </c>
      <c r="K22" s="312"/>
      <c r="L22" s="305"/>
      <c r="M22" s="215">
        <f t="shared" si="25"/>
        <v>0</v>
      </c>
      <c r="N22" s="312"/>
      <c r="O22" s="305"/>
      <c r="P22" s="215">
        <f t="shared" si="26"/>
        <v>0</v>
      </c>
      <c r="Q22" s="312"/>
      <c r="R22" s="305"/>
      <c r="S22" s="215">
        <f t="shared" si="27"/>
        <v>0</v>
      </c>
      <c r="T22" s="312"/>
      <c r="U22" s="305"/>
      <c r="V22" s="215">
        <f t="shared" si="28"/>
        <v>0</v>
      </c>
      <c r="W22" s="312"/>
      <c r="X22" s="305"/>
      <c r="Y22" s="215">
        <f t="shared" si="29"/>
        <v>0</v>
      </c>
      <c r="Z22" s="312"/>
      <c r="AA22" s="305"/>
      <c r="AB22" s="215">
        <f t="shared" si="30"/>
        <v>0</v>
      </c>
      <c r="AC22" s="312"/>
      <c r="AD22" s="305"/>
      <c r="AE22" s="215">
        <f t="shared" si="31"/>
        <v>0</v>
      </c>
      <c r="AF22" s="312"/>
      <c r="AG22" s="305"/>
      <c r="AH22" s="215">
        <f t="shared" si="32"/>
        <v>0</v>
      </c>
      <c r="AI22" s="312"/>
      <c r="AJ22" s="305"/>
      <c r="AK22" s="215">
        <f t="shared" si="33"/>
        <v>0</v>
      </c>
    </row>
    <row r="23" spans="1:37" x14ac:dyDescent="0.25">
      <c r="A23" s="15" t="s">
        <v>61</v>
      </c>
      <c r="B23" s="312"/>
      <c r="C23" s="305"/>
      <c r="D23" s="215">
        <f t="shared" si="34"/>
        <v>0</v>
      </c>
      <c r="E23" s="312"/>
      <c r="F23" s="305"/>
      <c r="G23" s="215">
        <f t="shared" si="23"/>
        <v>0</v>
      </c>
      <c r="H23" s="312"/>
      <c r="I23" s="305"/>
      <c r="J23" s="215">
        <f t="shared" si="24"/>
        <v>0</v>
      </c>
      <c r="K23" s="312"/>
      <c r="L23" s="305"/>
      <c r="M23" s="215">
        <f t="shared" si="25"/>
        <v>0</v>
      </c>
      <c r="N23" s="312"/>
      <c r="O23" s="305"/>
      <c r="P23" s="215">
        <f t="shared" si="26"/>
        <v>0</v>
      </c>
      <c r="Q23" s="312"/>
      <c r="R23" s="305"/>
      <c r="S23" s="215">
        <f t="shared" si="27"/>
        <v>0</v>
      </c>
      <c r="T23" s="312"/>
      <c r="U23" s="305"/>
      <c r="V23" s="215">
        <f t="shared" si="28"/>
        <v>0</v>
      </c>
      <c r="W23" s="312"/>
      <c r="X23" s="305"/>
      <c r="Y23" s="215">
        <f t="shared" si="29"/>
        <v>0</v>
      </c>
      <c r="Z23" s="312"/>
      <c r="AA23" s="305"/>
      <c r="AB23" s="215">
        <f t="shared" si="30"/>
        <v>0</v>
      </c>
      <c r="AC23" s="312">
        <v>2</v>
      </c>
      <c r="AD23" s="305">
        <v>132</v>
      </c>
      <c r="AE23" s="215">
        <f t="shared" si="31"/>
        <v>264</v>
      </c>
      <c r="AF23" s="312"/>
      <c r="AG23" s="305"/>
      <c r="AH23" s="215">
        <f t="shared" si="32"/>
        <v>0</v>
      </c>
      <c r="AI23" s="312"/>
      <c r="AJ23" s="305"/>
      <c r="AK23" s="215">
        <f t="shared" si="33"/>
        <v>0</v>
      </c>
    </row>
    <row r="24" spans="1:37" x14ac:dyDescent="0.25">
      <c r="A24" s="15" t="s">
        <v>60</v>
      </c>
      <c r="B24" s="312"/>
      <c r="C24" s="305"/>
      <c r="D24" s="215">
        <f t="shared" si="34"/>
        <v>0</v>
      </c>
      <c r="E24" s="312">
        <v>1</v>
      </c>
      <c r="F24" s="305">
        <v>300</v>
      </c>
      <c r="G24" s="215">
        <f t="shared" si="23"/>
        <v>300</v>
      </c>
      <c r="H24" s="312"/>
      <c r="I24" s="305"/>
      <c r="J24" s="215">
        <f t="shared" si="24"/>
        <v>0</v>
      </c>
      <c r="K24" s="312"/>
      <c r="L24" s="305"/>
      <c r="M24" s="215">
        <f t="shared" si="25"/>
        <v>0</v>
      </c>
      <c r="N24" s="312"/>
      <c r="O24" s="305"/>
      <c r="P24" s="215">
        <f t="shared" si="26"/>
        <v>0</v>
      </c>
      <c r="Q24" s="312"/>
      <c r="R24" s="305"/>
      <c r="S24" s="215">
        <f t="shared" si="27"/>
        <v>0</v>
      </c>
      <c r="T24" s="312"/>
      <c r="U24" s="305"/>
      <c r="V24" s="215">
        <f t="shared" si="28"/>
        <v>0</v>
      </c>
      <c r="W24" s="312"/>
      <c r="X24" s="305"/>
      <c r="Y24" s="215">
        <f t="shared" si="29"/>
        <v>0</v>
      </c>
      <c r="Z24" s="312"/>
      <c r="AA24" s="305"/>
      <c r="AB24" s="215">
        <f t="shared" si="30"/>
        <v>0</v>
      </c>
      <c r="AC24" s="312">
        <v>1</v>
      </c>
      <c r="AD24" s="305">
        <v>250</v>
      </c>
      <c r="AE24" s="215">
        <f t="shared" si="31"/>
        <v>250</v>
      </c>
      <c r="AF24" s="312"/>
      <c r="AG24" s="305"/>
      <c r="AH24" s="215">
        <f t="shared" si="32"/>
        <v>0</v>
      </c>
      <c r="AI24" s="312"/>
      <c r="AJ24" s="305"/>
      <c r="AK24" s="215">
        <f t="shared" si="33"/>
        <v>0</v>
      </c>
    </row>
    <row r="25" spans="1:37" x14ac:dyDescent="0.25">
      <c r="A25" s="15" t="s">
        <v>55</v>
      </c>
      <c r="B25" s="312">
        <v>1</v>
      </c>
      <c r="C25" s="305">
        <v>250</v>
      </c>
      <c r="D25" s="215">
        <f>B25*C25</f>
        <v>250</v>
      </c>
      <c r="E25" s="312"/>
      <c r="F25" s="305"/>
      <c r="G25" s="215">
        <f t="shared" si="23"/>
        <v>0</v>
      </c>
      <c r="H25" s="312"/>
      <c r="I25" s="305"/>
      <c r="J25" s="215">
        <f t="shared" si="24"/>
        <v>0</v>
      </c>
      <c r="K25" s="312"/>
      <c r="L25" s="305"/>
      <c r="M25" s="215">
        <f t="shared" si="25"/>
        <v>0</v>
      </c>
      <c r="N25" s="312"/>
      <c r="O25" s="305"/>
      <c r="P25" s="215">
        <f t="shared" si="26"/>
        <v>0</v>
      </c>
      <c r="Q25" s="312"/>
      <c r="R25" s="305"/>
      <c r="S25" s="215">
        <f t="shared" si="27"/>
        <v>0</v>
      </c>
      <c r="T25" s="312">
        <v>1</v>
      </c>
      <c r="U25" s="305">
        <v>300</v>
      </c>
      <c r="V25" s="215">
        <f t="shared" si="28"/>
        <v>300</v>
      </c>
      <c r="W25" s="312"/>
      <c r="X25" s="305"/>
      <c r="Y25" s="215">
        <f t="shared" si="29"/>
        <v>0</v>
      </c>
      <c r="Z25" s="312"/>
      <c r="AA25" s="305"/>
      <c r="AB25" s="215">
        <f t="shared" si="30"/>
        <v>0</v>
      </c>
      <c r="AC25" s="312"/>
      <c r="AD25" s="305"/>
      <c r="AE25" s="215">
        <f t="shared" si="31"/>
        <v>0</v>
      </c>
      <c r="AF25" s="312"/>
      <c r="AG25" s="305"/>
      <c r="AH25" s="215">
        <f t="shared" si="32"/>
        <v>0</v>
      </c>
      <c r="AI25" s="312"/>
      <c r="AJ25" s="305"/>
      <c r="AK25" s="215">
        <f t="shared" si="33"/>
        <v>0</v>
      </c>
    </row>
    <row r="26" spans="1:37" x14ac:dyDescent="0.25">
      <c r="A26" s="341" t="s">
        <v>335</v>
      </c>
      <c r="B26" s="342"/>
      <c r="C26" s="343"/>
      <c r="D26" s="344">
        <f t="shared" si="34"/>
        <v>0</v>
      </c>
      <c r="E26" s="342"/>
      <c r="F26" s="343"/>
      <c r="G26" s="344">
        <f t="shared" si="23"/>
        <v>0</v>
      </c>
      <c r="H26" s="342"/>
      <c r="I26" s="343"/>
      <c r="J26" s="344">
        <f t="shared" si="24"/>
        <v>0</v>
      </c>
      <c r="K26" s="342"/>
      <c r="L26" s="343"/>
      <c r="M26" s="344">
        <f t="shared" si="25"/>
        <v>0</v>
      </c>
      <c r="N26" s="342"/>
      <c r="O26" s="343"/>
      <c r="P26" s="344">
        <f t="shared" si="26"/>
        <v>0</v>
      </c>
      <c r="Q26" s="342"/>
      <c r="R26" s="343"/>
      <c r="S26" s="344">
        <f t="shared" si="27"/>
        <v>0</v>
      </c>
      <c r="T26" s="342"/>
      <c r="U26" s="343"/>
      <c r="V26" s="344">
        <f t="shared" si="28"/>
        <v>0</v>
      </c>
      <c r="W26" s="342">
        <v>1</v>
      </c>
      <c r="X26" s="343">
        <v>300</v>
      </c>
      <c r="Y26" s="344">
        <f t="shared" si="29"/>
        <v>300</v>
      </c>
      <c r="Z26" s="342"/>
      <c r="AA26" s="343"/>
      <c r="AB26" s="344">
        <f t="shared" si="30"/>
        <v>0</v>
      </c>
      <c r="AC26" s="342"/>
      <c r="AD26" s="343"/>
      <c r="AE26" s="344">
        <f t="shared" si="31"/>
        <v>0</v>
      </c>
      <c r="AF26" s="342"/>
      <c r="AG26" s="343"/>
      <c r="AH26" s="344">
        <f t="shared" si="32"/>
        <v>0</v>
      </c>
      <c r="AI26" s="342"/>
      <c r="AJ26" s="343"/>
      <c r="AK26" s="344">
        <f t="shared" si="33"/>
        <v>0</v>
      </c>
    </row>
    <row r="27" spans="1:37" ht="15.75" thickBot="1" x14ac:dyDescent="0.3">
      <c r="A27" s="338" t="s">
        <v>336</v>
      </c>
      <c r="B27" s="339"/>
      <c r="C27" s="340"/>
      <c r="D27" s="216">
        <f>SUM(D16:D26)</f>
        <v>838.72059999999999</v>
      </c>
      <c r="E27" s="339"/>
      <c r="F27" s="340"/>
      <c r="G27" s="216">
        <f>SUM(G16:G26)</f>
        <v>802.45450000000005</v>
      </c>
      <c r="H27" s="339"/>
      <c r="I27" s="340"/>
      <c r="J27" s="216">
        <f>SUM(J16:J26)</f>
        <v>540.4</v>
      </c>
      <c r="K27" s="339"/>
      <c r="L27" s="340"/>
      <c r="M27" s="216">
        <f>SUM(M16:M26)</f>
        <v>552.4</v>
      </c>
      <c r="N27" s="339"/>
      <c r="O27" s="340"/>
      <c r="P27" s="216">
        <f>SUM(P16:P26)</f>
        <v>387</v>
      </c>
      <c r="Q27" s="339"/>
      <c r="R27" s="340"/>
      <c r="S27" s="216">
        <f>SUM(S16:S26)</f>
        <v>612.27175</v>
      </c>
      <c r="T27" s="339"/>
      <c r="U27" s="340"/>
      <c r="V27" s="216">
        <f>SUM(V16:V26)</f>
        <v>728</v>
      </c>
      <c r="W27" s="339"/>
      <c r="X27" s="340"/>
      <c r="Y27" s="216">
        <f>SUM(Y16:Y26)</f>
        <v>740</v>
      </c>
      <c r="Z27" s="339"/>
      <c r="AA27" s="340"/>
      <c r="AB27" s="216">
        <f>SUM(AB16:AB26)</f>
        <v>553.46354299999996</v>
      </c>
      <c r="AC27" s="339"/>
      <c r="AD27" s="340"/>
      <c r="AE27" s="216">
        <f>SUM(AE16:AE26)</f>
        <v>1202.24081</v>
      </c>
      <c r="AF27" s="339"/>
      <c r="AG27" s="340"/>
      <c r="AH27" s="216">
        <f>SUM(AH16:AH26)</f>
        <v>1077.8540459999999</v>
      </c>
      <c r="AI27" s="339"/>
      <c r="AJ27" s="340"/>
      <c r="AK27" s="216">
        <f>SUM(AK16:AK26)</f>
        <v>1508.09701</v>
      </c>
    </row>
    <row r="28" spans="1:37" x14ac:dyDescent="0.25">
      <c r="A28" s="337" t="s">
        <v>255</v>
      </c>
      <c r="B28" s="334" t="s">
        <v>95</v>
      </c>
      <c r="C28" s="335" t="s">
        <v>96</v>
      </c>
      <c r="D28" s="336" t="s">
        <v>97</v>
      </c>
      <c r="E28" s="334" t="s">
        <v>95</v>
      </c>
      <c r="F28" s="335" t="s">
        <v>96</v>
      </c>
      <c r="G28" s="336" t="s">
        <v>97</v>
      </c>
      <c r="H28" s="334" t="s">
        <v>95</v>
      </c>
      <c r="I28" s="335" t="s">
        <v>96</v>
      </c>
      <c r="J28" s="336" t="s">
        <v>97</v>
      </c>
      <c r="K28" s="334" t="s">
        <v>95</v>
      </c>
      <c r="L28" s="335" t="s">
        <v>96</v>
      </c>
      <c r="M28" s="336" t="s">
        <v>97</v>
      </c>
      <c r="N28" s="334" t="s">
        <v>95</v>
      </c>
      <c r="O28" s="335" t="s">
        <v>96</v>
      </c>
      <c r="P28" s="336" t="s">
        <v>97</v>
      </c>
      <c r="Q28" s="334" t="s">
        <v>95</v>
      </c>
      <c r="R28" s="335" t="s">
        <v>96</v>
      </c>
      <c r="S28" s="336" t="s">
        <v>97</v>
      </c>
      <c r="T28" s="334" t="s">
        <v>95</v>
      </c>
      <c r="U28" s="335" t="s">
        <v>96</v>
      </c>
      <c r="V28" s="336" t="s">
        <v>97</v>
      </c>
      <c r="W28" s="334" t="s">
        <v>95</v>
      </c>
      <c r="X28" s="335" t="s">
        <v>96</v>
      </c>
      <c r="Y28" s="336" t="s">
        <v>97</v>
      </c>
      <c r="Z28" s="334" t="s">
        <v>95</v>
      </c>
      <c r="AA28" s="335" t="s">
        <v>96</v>
      </c>
      <c r="AB28" s="336" t="s">
        <v>97</v>
      </c>
      <c r="AC28" s="334" t="s">
        <v>95</v>
      </c>
      <c r="AD28" s="335" t="s">
        <v>96</v>
      </c>
      <c r="AE28" s="336" t="s">
        <v>97</v>
      </c>
      <c r="AF28" s="334" t="s">
        <v>95</v>
      </c>
      <c r="AG28" s="335" t="s">
        <v>96</v>
      </c>
      <c r="AH28" s="336" t="s">
        <v>97</v>
      </c>
      <c r="AI28" s="334" t="s">
        <v>95</v>
      </c>
      <c r="AJ28" s="335" t="s">
        <v>96</v>
      </c>
      <c r="AK28" s="336" t="s">
        <v>97</v>
      </c>
    </row>
    <row r="29" spans="1:37" x14ac:dyDescent="0.25">
      <c r="A29" s="4" t="s">
        <v>337</v>
      </c>
      <c r="B29" s="304"/>
      <c r="C29" s="305"/>
      <c r="D29" s="215">
        <f>B29*C29</f>
        <v>0</v>
      </c>
      <c r="E29" s="304"/>
      <c r="F29" s="305"/>
      <c r="G29" s="215">
        <f t="shared" ref="G29:G39" si="35">E29*F29</f>
        <v>0</v>
      </c>
      <c r="H29" s="304"/>
      <c r="I29" s="305"/>
      <c r="J29" s="215">
        <f t="shared" ref="J29:J39" si="36">H29*I29</f>
        <v>0</v>
      </c>
      <c r="K29" s="304"/>
      <c r="L29" s="305"/>
      <c r="M29" s="215">
        <f t="shared" ref="M29:M39" si="37">K29*L29</f>
        <v>0</v>
      </c>
      <c r="N29" s="304"/>
      <c r="O29" s="305"/>
      <c r="P29" s="215">
        <f t="shared" ref="P29:P39" si="38">N29*O29</f>
        <v>0</v>
      </c>
      <c r="Q29" s="304"/>
      <c r="R29" s="305"/>
      <c r="S29" s="215">
        <f t="shared" ref="S29:S39" si="39">Q29*R29</f>
        <v>0</v>
      </c>
      <c r="T29" s="304"/>
      <c r="U29" s="305"/>
      <c r="V29" s="215">
        <f t="shared" ref="V29:V39" si="40">T29*U29</f>
        <v>0</v>
      </c>
      <c r="W29" s="304"/>
      <c r="X29" s="305"/>
      <c r="Y29" s="215">
        <f t="shared" ref="Y29:Y39" si="41">W29*X29</f>
        <v>0</v>
      </c>
      <c r="Z29" s="304">
        <v>1</v>
      </c>
      <c r="AA29" s="305">
        <v>180</v>
      </c>
      <c r="AB29" s="215">
        <f t="shared" ref="AB29:AB39" si="42">Z29*AA29</f>
        <v>180</v>
      </c>
      <c r="AC29" s="304"/>
      <c r="AD29" s="305"/>
      <c r="AE29" s="215">
        <f t="shared" ref="AE29:AE39" si="43">AC29*AD29</f>
        <v>0</v>
      </c>
      <c r="AF29" s="304">
        <v>1</v>
      </c>
      <c r="AG29" s="305">
        <v>350</v>
      </c>
      <c r="AH29" s="215">
        <f t="shared" ref="AH29:AH39" si="44">AF29*AG29</f>
        <v>350</v>
      </c>
      <c r="AI29" s="304">
        <v>1</v>
      </c>
      <c r="AJ29" s="305">
        <v>350</v>
      </c>
      <c r="AK29" s="215">
        <f t="shared" ref="AK29:AK39" si="45">AI29*AJ29</f>
        <v>350</v>
      </c>
    </row>
    <row r="30" spans="1:37" x14ac:dyDescent="0.25">
      <c r="A30" s="4" t="s">
        <v>256</v>
      </c>
      <c r="B30" s="304"/>
      <c r="C30" s="305"/>
      <c r="D30" s="215">
        <f>B30*C30</f>
        <v>0</v>
      </c>
      <c r="E30" s="304"/>
      <c r="F30" s="305"/>
      <c r="G30" s="215">
        <f t="shared" si="35"/>
        <v>0</v>
      </c>
      <c r="H30" s="304"/>
      <c r="I30" s="305"/>
      <c r="J30" s="215">
        <f t="shared" si="36"/>
        <v>0</v>
      </c>
      <c r="K30" s="304"/>
      <c r="L30" s="305"/>
      <c r="M30" s="215">
        <f t="shared" si="37"/>
        <v>0</v>
      </c>
      <c r="N30" s="304"/>
      <c r="O30" s="305"/>
      <c r="P30" s="215">
        <f t="shared" si="38"/>
        <v>0</v>
      </c>
      <c r="Q30" s="304"/>
      <c r="R30" s="305"/>
      <c r="S30" s="215">
        <f t="shared" si="39"/>
        <v>0</v>
      </c>
      <c r="T30" s="304"/>
      <c r="U30" s="305"/>
      <c r="V30" s="215">
        <f t="shared" si="40"/>
        <v>0</v>
      </c>
      <c r="W30" s="304"/>
      <c r="X30" s="305"/>
      <c r="Y30" s="215">
        <f t="shared" si="41"/>
        <v>0</v>
      </c>
      <c r="Z30" s="304"/>
      <c r="AA30" s="305"/>
      <c r="AB30" s="215">
        <f t="shared" si="42"/>
        <v>0</v>
      </c>
      <c r="AC30" s="304"/>
      <c r="AD30" s="305"/>
      <c r="AE30" s="215">
        <f t="shared" si="43"/>
        <v>0</v>
      </c>
      <c r="AF30" s="304"/>
      <c r="AG30" s="305"/>
      <c r="AH30" s="215">
        <f t="shared" si="44"/>
        <v>0</v>
      </c>
      <c r="AI30" s="304">
        <v>2</v>
      </c>
      <c r="AJ30" s="305">
        <v>300</v>
      </c>
      <c r="AK30" s="215">
        <f t="shared" si="45"/>
        <v>600</v>
      </c>
    </row>
    <row r="31" spans="1:37" x14ac:dyDescent="0.25">
      <c r="A31" s="4" t="s">
        <v>338</v>
      </c>
      <c r="B31" s="304"/>
      <c r="C31" s="305"/>
      <c r="D31" s="215">
        <f t="shared" ref="D31:D39" si="46">B31*C31</f>
        <v>0</v>
      </c>
      <c r="E31" s="304"/>
      <c r="F31" s="305"/>
      <c r="G31" s="215">
        <f t="shared" si="35"/>
        <v>0</v>
      </c>
      <c r="H31" s="304"/>
      <c r="I31" s="305"/>
      <c r="J31" s="215">
        <f t="shared" si="36"/>
        <v>0</v>
      </c>
      <c r="K31" s="304"/>
      <c r="L31" s="305"/>
      <c r="M31" s="215">
        <f t="shared" si="37"/>
        <v>0</v>
      </c>
      <c r="N31" s="304"/>
      <c r="O31" s="305"/>
      <c r="P31" s="215">
        <f t="shared" si="38"/>
        <v>0</v>
      </c>
      <c r="Q31" s="304"/>
      <c r="R31" s="305"/>
      <c r="S31" s="215">
        <f t="shared" si="39"/>
        <v>0</v>
      </c>
      <c r="T31" s="304"/>
      <c r="U31" s="305"/>
      <c r="V31" s="215">
        <f t="shared" si="40"/>
        <v>0</v>
      </c>
      <c r="W31" s="304"/>
      <c r="X31" s="305"/>
      <c r="Y31" s="215">
        <f t="shared" si="41"/>
        <v>0</v>
      </c>
      <c r="Z31" s="304"/>
      <c r="AA31" s="305"/>
      <c r="AB31" s="215">
        <f t="shared" si="42"/>
        <v>0</v>
      </c>
      <c r="AC31" s="304"/>
      <c r="AD31" s="305"/>
      <c r="AE31" s="215">
        <f t="shared" si="43"/>
        <v>0</v>
      </c>
      <c r="AF31" s="304"/>
      <c r="AG31" s="305"/>
      <c r="AH31" s="215">
        <f t="shared" si="44"/>
        <v>0</v>
      </c>
      <c r="AI31" s="304"/>
      <c r="AJ31" s="305"/>
      <c r="AK31" s="215">
        <f t="shared" si="45"/>
        <v>0</v>
      </c>
    </row>
    <row r="32" spans="1:37" x14ac:dyDescent="0.25">
      <c r="A32" s="4" t="s">
        <v>339</v>
      </c>
      <c r="B32" s="304"/>
      <c r="C32" s="305"/>
      <c r="D32" s="215">
        <f t="shared" si="46"/>
        <v>0</v>
      </c>
      <c r="E32" s="304"/>
      <c r="F32" s="305"/>
      <c r="G32" s="215">
        <f t="shared" si="35"/>
        <v>0</v>
      </c>
      <c r="H32" s="304"/>
      <c r="I32" s="305"/>
      <c r="J32" s="215">
        <f t="shared" si="36"/>
        <v>0</v>
      </c>
      <c r="K32" s="304"/>
      <c r="L32" s="305"/>
      <c r="M32" s="215">
        <f t="shared" si="37"/>
        <v>0</v>
      </c>
      <c r="N32" s="304"/>
      <c r="O32" s="305"/>
      <c r="P32" s="215">
        <f t="shared" si="38"/>
        <v>0</v>
      </c>
      <c r="Q32" s="304">
        <v>2</v>
      </c>
      <c r="R32" s="305">
        <v>39</v>
      </c>
      <c r="S32" s="215">
        <f t="shared" si="39"/>
        <v>78</v>
      </c>
      <c r="T32" s="304">
        <v>5</v>
      </c>
      <c r="U32" s="305">
        <v>31.54</v>
      </c>
      <c r="V32" s="215">
        <f t="shared" si="40"/>
        <v>157.69999999999999</v>
      </c>
      <c r="W32" s="304"/>
      <c r="X32" s="305"/>
      <c r="Y32" s="215">
        <f t="shared" si="41"/>
        <v>0</v>
      </c>
      <c r="Z32" s="304"/>
      <c r="AA32" s="305"/>
      <c r="AB32" s="215">
        <f t="shared" si="42"/>
        <v>0</v>
      </c>
      <c r="AC32" s="304"/>
      <c r="AD32" s="305"/>
      <c r="AE32" s="215">
        <f t="shared" si="43"/>
        <v>0</v>
      </c>
      <c r="AF32" s="304"/>
      <c r="AG32" s="305"/>
      <c r="AH32" s="215">
        <f t="shared" si="44"/>
        <v>0</v>
      </c>
      <c r="AI32" s="304"/>
      <c r="AJ32" s="305"/>
      <c r="AK32" s="215">
        <f t="shared" si="45"/>
        <v>0</v>
      </c>
    </row>
    <row r="33" spans="1:37" x14ac:dyDescent="0.25">
      <c r="A33" s="4" t="s">
        <v>340</v>
      </c>
      <c r="B33" s="304"/>
      <c r="C33" s="305"/>
      <c r="D33" s="215">
        <f t="shared" si="46"/>
        <v>0</v>
      </c>
      <c r="E33" s="304"/>
      <c r="F33" s="305"/>
      <c r="G33" s="215">
        <f t="shared" si="35"/>
        <v>0</v>
      </c>
      <c r="H33" s="304"/>
      <c r="I33" s="305"/>
      <c r="J33" s="215">
        <f t="shared" si="36"/>
        <v>0</v>
      </c>
      <c r="K33" s="304"/>
      <c r="L33" s="305"/>
      <c r="M33" s="215">
        <f t="shared" si="37"/>
        <v>0</v>
      </c>
      <c r="N33" s="304"/>
      <c r="O33" s="305"/>
      <c r="P33" s="215">
        <f t="shared" si="38"/>
        <v>0</v>
      </c>
      <c r="Q33" s="304"/>
      <c r="R33" s="305"/>
      <c r="S33" s="215">
        <f t="shared" si="39"/>
        <v>0</v>
      </c>
      <c r="T33" s="304"/>
      <c r="U33" s="305"/>
      <c r="V33" s="215">
        <f t="shared" si="40"/>
        <v>0</v>
      </c>
      <c r="W33" s="304"/>
      <c r="X33" s="305"/>
      <c r="Y33" s="215">
        <f t="shared" si="41"/>
        <v>0</v>
      </c>
      <c r="Z33" s="304"/>
      <c r="AA33" s="305"/>
      <c r="AB33" s="215">
        <f t="shared" si="42"/>
        <v>0</v>
      </c>
      <c r="AC33" s="304"/>
      <c r="AD33" s="305"/>
      <c r="AE33" s="215">
        <f t="shared" si="43"/>
        <v>0</v>
      </c>
      <c r="AF33" s="304"/>
      <c r="AG33" s="305"/>
      <c r="AH33" s="215">
        <f t="shared" si="44"/>
        <v>0</v>
      </c>
      <c r="AI33" s="304"/>
      <c r="AJ33" s="305"/>
      <c r="AK33" s="215">
        <f t="shared" si="45"/>
        <v>0</v>
      </c>
    </row>
    <row r="34" spans="1:37" x14ac:dyDescent="0.25">
      <c r="A34" s="4" t="s">
        <v>341</v>
      </c>
      <c r="B34" s="304"/>
      <c r="C34" s="305"/>
      <c r="D34" s="215">
        <f t="shared" si="46"/>
        <v>0</v>
      </c>
      <c r="E34" s="304"/>
      <c r="F34" s="305"/>
      <c r="G34" s="215">
        <f t="shared" si="35"/>
        <v>0</v>
      </c>
      <c r="H34" s="304"/>
      <c r="I34" s="305"/>
      <c r="J34" s="215">
        <f t="shared" si="36"/>
        <v>0</v>
      </c>
      <c r="K34" s="304"/>
      <c r="L34" s="305"/>
      <c r="M34" s="215">
        <f t="shared" si="37"/>
        <v>0</v>
      </c>
      <c r="N34" s="304"/>
      <c r="O34" s="305"/>
      <c r="P34" s="215">
        <f t="shared" si="38"/>
        <v>0</v>
      </c>
      <c r="Q34" s="304">
        <v>2</v>
      </c>
      <c r="R34" s="305">
        <v>100</v>
      </c>
      <c r="S34" s="215">
        <f t="shared" si="39"/>
        <v>200</v>
      </c>
      <c r="T34" s="304"/>
      <c r="U34" s="305"/>
      <c r="V34" s="215">
        <f t="shared" si="40"/>
        <v>0</v>
      </c>
      <c r="W34" s="304"/>
      <c r="X34" s="305"/>
      <c r="Y34" s="215">
        <f t="shared" si="41"/>
        <v>0</v>
      </c>
      <c r="Z34" s="304"/>
      <c r="AA34" s="305"/>
      <c r="AB34" s="215">
        <f t="shared" si="42"/>
        <v>0</v>
      </c>
      <c r="AC34" s="304"/>
      <c r="AD34" s="305"/>
      <c r="AE34" s="215">
        <f t="shared" si="43"/>
        <v>0</v>
      </c>
      <c r="AF34" s="304"/>
      <c r="AG34" s="305"/>
      <c r="AH34" s="215">
        <f t="shared" si="44"/>
        <v>0</v>
      </c>
      <c r="AI34" s="304"/>
      <c r="AJ34" s="305"/>
      <c r="AK34" s="215">
        <f t="shared" si="45"/>
        <v>0</v>
      </c>
    </row>
    <row r="35" spans="1:37" x14ac:dyDescent="0.25">
      <c r="A35" s="4" t="s">
        <v>342</v>
      </c>
      <c r="B35" s="304"/>
      <c r="C35" s="305"/>
      <c r="D35" s="215">
        <f t="shared" si="46"/>
        <v>0</v>
      </c>
      <c r="E35" s="304"/>
      <c r="F35" s="305"/>
      <c r="G35" s="215">
        <f t="shared" si="35"/>
        <v>0</v>
      </c>
      <c r="H35" s="304"/>
      <c r="I35" s="305"/>
      <c r="J35" s="215">
        <f t="shared" si="36"/>
        <v>0</v>
      </c>
      <c r="K35" s="304"/>
      <c r="L35" s="305"/>
      <c r="M35" s="215">
        <f t="shared" si="37"/>
        <v>0</v>
      </c>
      <c r="N35" s="304"/>
      <c r="O35" s="305"/>
      <c r="P35" s="215">
        <f t="shared" si="38"/>
        <v>0</v>
      </c>
      <c r="Q35" s="304"/>
      <c r="R35" s="305"/>
      <c r="S35" s="215">
        <f t="shared" si="39"/>
        <v>0</v>
      </c>
      <c r="T35" s="304"/>
      <c r="U35" s="305"/>
      <c r="V35" s="215">
        <f t="shared" si="40"/>
        <v>0</v>
      </c>
      <c r="W35" s="304"/>
      <c r="X35" s="305"/>
      <c r="Y35" s="215">
        <f t="shared" si="41"/>
        <v>0</v>
      </c>
      <c r="Z35" s="304"/>
      <c r="AA35" s="305"/>
      <c r="AB35" s="215">
        <f t="shared" si="42"/>
        <v>0</v>
      </c>
      <c r="AC35" s="304"/>
      <c r="AD35" s="305"/>
      <c r="AE35" s="215">
        <f t="shared" si="43"/>
        <v>0</v>
      </c>
      <c r="AF35" s="304"/>
      <c r="AG35" s="305"/>
      <c r="AH35" s="215">
        <f t="shared" si="44"/>
        <v>0</v>
      </c>
      <c r="AI35" s="304"/>
      <c r="AJ35" s="305"/>
      <c r="AK35" s="215">
        <f t="shared" si="45"/>
        <v>0</v>
      </c>
    </row>
    <row r="36" spans="1:37" x14ac:dyDescent="0.25">
      <c r="A36" s="4" t="s">
        <v>343</v>
      </c>
      <c r="B36" s="304"/>
      <c r="C36" s="305"/>
      <c r="D36" s="215">
        <f t="shared" si="46"/>
        <v>0</v>
      </c>
      <c r="E36" s="304"/>
      <c r="F36" s="305"/>
      <c r="G36" s="215">
        <f t="shared" si="35"/>
        <v>0</v>
      </c>
      <c r="H36" s="304"/>
      <c r="I36" s="305"/>
      <c r="J36" s="215">
        <f t="shared" si="36"/>
        <v>0</v>
      </c>
      <c r="K36" s="304"/>
      <c r="L36" s="305"/>
      <c r="M36" s="215">
        <f t="shared" si="37"/>
        <v>0</v>
      </c>
      <c r="N36" s="304"/>
      <c r="O36" s="305"/>
      <c r="P36" s="215">
        <f t="shared" si="38"/>
        <v>0</v>
      </c>
      <c r="Q36" s="304"/>
      <c r="R36" s="305"/>
      <c r="S36" s="215">
        <f t="shared" si="39"/>
        <v>0</v>
      </c>
      <c r="T36" s="304"/>
      <c r="U36" s="305"/>
      <c r="V36" s="215">
        <f t="shared" si="40"/>
        <v>0</v>
      </c>
      <c r="W36" s="304"/>
      <c r="X36" s="305"/>
      <c r="Y36" s="215">
        <f t="shared" si="41"/>
        <v>0</v>
      </c>
      <c r="Z36" s="304"/>
      <c r="AA36" s="305"/>
      <c r="AB36" s="215">
        <f t="shared" si="42"/>
        <v>0</v>
      </c>
      <c r="AC36" s="304"/>
      <c r="AD36" s="305"/>
      <c r="AE36" s="215">
        <f t="shared" si="43"/>
        <v>0</v>
      </c>
      <c r="AF36" s="304"/>
      <c r="AG36" s="305"/>
      <c r="AH36" s="215">
        <f t="shared" si="44"/>
        <v>0</v>
      </c>
      <c r="AI36" s="304"/>
      <c r="AJ36" s="305"/>
      <c r="AK36" s="215">
        <f t="shared" si="45"/>
        <v>0</v>
      </c>
    </row>
    <row r="37" spans="1:37" x14ac:dyDescent="0.25">
      <c r="A37" s="4" t="s">
        <v>344</v>
      </c>
      <c r="B37" s="304"/>
      <c r="C37" s="305"/>
      <c r="D37" s="215">
        <f t="shared" si="46"/>
        <v>0</v>
      </c>
      <c r="E37" s="304"/>
      <c r="F37" s="305"/>
      <c r="G37" s="215">
        <f t="shared" si="35"/>
        <v>0</v>
      </c>
      <c r="H37" s="304"/>
      <c r="I37" s="305"/>
      <c r="J37" s="215">
        <f t="shared" si="36"/>
        <v>0</v>
      </c>
      <c r="K37" s="304"/>
      <c r="L37" s="305"/>
      <c r="M37" s="215">
        <f t="shared" si="37"/>
        <v>0</v>
      </c>
      <c r="N37" s="304"/>
      <c r="O37" s="305"/>
      <c r="P37" s="215">
        <f t="shared" si="38"/>
        <v>0</v>
      </c>
      <c r="Q37" s="304"/>
      <c r="R37" s="305"/>
      <c r="S37" s="215">
        <f t="shared" si="39"/>
        <v>0</v>
      </c>
      <c r="T37" s="304"/>
      <c r="U37" s="305"/>
      <c r="V37" s="215">
        <f t="shared" si="40"/>
        <v>0</v>
      </c>
      <c r="W37" s="304"/>
      <c r="X37" s="305"/>
      <c r="Y37" s="215">
        <f t="shared" si="41"/>
        <v>0</v>
      </c>
      <c r="Z37" s="304"/>
      <c r="AA37" s="305"/>
      <c r="AB37" s="215">
        <f t="shared" si="42"/>
        <v>0</v>
      </c>
      <c r="AC37" s="304"/>
      <c r="AD37" s="305"/>
      <c r="AE37" s="215">
        <f t="shared" si="43"/>
        <v>0</v>
      </c>
      <c r="AF37" s="304"/>
      <c r="AG37" s="305"/>
      <c r="AH37" s="215">
        <f t="shared" si="44"/>
        <v>0</v>
      </c>
      <c r="AI37" s="304"/>
      <c r="AJ37" s="305"/>
      <c r="AK37" s="215">
        <f t="shared" si="45"/>
        <v>0</v>
      </c>
    </row>
    <row r="38" spans="1:37" x14ac:dyDescent="0.25">
      <c r="A38" s="4" t="s">
        <v>345</v>
      </c>
      <c r="B38" s="304"/>
      <c r="C38" s="305"/>
      <c r="D38" s="215">
        <f t="shared" si="46"/>
        <v>0</v>
      </c>
      <c r="E38" s="304"/>
      <c r="F38" s="305"/>
      <c r="G38" s="215">
        <f t="shared" si="35"/>
        <v>0</v>
      </c>
      <c r="H38" s="304"/>
      <c r="I38" s="305"/>
      <c r="J38" s="215">
        <f t="shared" si="36"/>
        <v>0</v>
      </c>
      <c r="K38" s="304"/>
      <c r="L38" s="305"/>
      <c r="M38" s="215">
        <f t="shared" si="37"/>
        <v>0</v>
      </c>
      <c r="N38" s="304"/>
      <c r="O38" s="305"/>
      <c r="P38" s="215">
        <f t="shared" si="38"/>
        <v>0</v>
      </c>
      <c r="Q38" s="304"/>
      <c r="R38" s="305"/>
      <c r="S38" s="215">
        <f t="shared" si="39"/>
        <v>0</v>
      </c>
      <c r="T38" s="304"/>
      <c r="U38" s="305"/>
      <c r="V38" s="215">
        <f t="shared" si="40"/>
        <v>0</v>
      </c>
      <c r="W38" s="304"/>
      <c r="X38" s="305"/>
      <c r="Y38" s="215">
        <f t="shared" si="41"/>
        <v>0</v>
      </c>
      <c r="Z38" s="304"/>
      <c r="AA38" s="305"/>
      <c r="AB38" s="215">
        <f t="shared" si="42"/>
        <v>0</v>
      </c>
      <c r="AC38" s="304">
        <v>1</v>
      </c>
      <c r="AD38" s="305">
        <v>250</v>
      </c>
      <c r="AE38" s="215">
        <f t="shared" si="43"/>
        <v>250</v>
      </c>
      <c r="AF38" s="304">
        <v>1</v>
      </c>
      <c r="AG38" s="305">
        <v>250</v>
      </c>
      <c r="AH38" s="215">
        <f t="shared" si="44"/>
        <v>250</v>
      </c>
      <c r="AI38" s="304"/>
      <c r="AJ38" s="305"/>
      <c r="AK38" s="215">
        <f t="shared" si="45"/>
        <v>0</v>
      </c>
    </row>
    <row r="39" spans="1:37" x14ac:dyDescent="0.25">
      <c r="A39" s="345" t="s">
        <v>346</v>
      </c>
      <c r="B39" s="346"/>
      <c r="C39" s="343"/>
      <c r="D39" s="344">
        <f t="shared" si="46"/>
        <v>0</v>
      </c>
      <c r="E39" s="346"/>
      <c r="F39" s="343"/>
      <c r="G39" s="344">
        <f t="shared" si="35"/>
        <v>0</v>
      </c>
      <c r="H39" s="346"/>
      <c r="I39" s="343"/>
      <c r="J39" s="344">
        <f t="shared" si="36"/>
        <v>0</v>
      </c>
      <c r="K39" s="346"/>
      <c r="L39" s="343"/>
      <c r="M39" s="344">
        <f t="shared" si="37"/>
        <v>0</v>
      </c>
      <c r="N39" s="346"/>
      <c r="O39" s="343"/>
      <c r="P39" s="344">
        <f t="shared" si="38"/>
        <v>0</v>
      </c>
      <c r="Q39" s="346"/>
      <c r="R39" s="343"/>
      <c r="S39" s="344">
        <f t="shared" si="39"/>
        <v>0</v>
      </c>
      <c r="T39" s="346"/>
      <c r="U39" s="343"/>
      <c r="V39" s="344">
        <f t="shared" si="40"/>
        <v>0</v>
      </c>
      <c r="W39" s="346"/>
      <c r="X39" s="343"/>
      <c r="Y39" s="344">
        <f t="shared" si="41"/>
        <v>0</v>
      </c>
      <c r="Z39" s="346">
        <v>6</v>
      </c>
      <c r="AA39" s="343">
        <v>30</v>
      </c>
      <c r="AB39" s="344">
        <f t="shared" si="42"/>
        <v>180</v>
      </c>
      <c r="AC39" s="346">
        <v>120</v>
      </c>
      <c r="AD39" s="343">
        <v>180</v>
      </c>
      <c r="AE39" s="344">
        <f t="shared" si="43"/>
        <v>21600</v>
      </c>
      <c r="AF39" s="346">
        <v>10</v>
      </c>
      <c r="AG39" s="343">
        <v>50</v>
      </c>
      <c r="AH39" s="344">
        <f t="shared" si="44"/>
        <v>500</v>
      </c>
      <c r="AI39" s="346">
        <v>10</v>
      </c>
      <c r="AJ39" s="343">
        <v>50</v>
      </c>
      <c r="AK39" s="344">
        <f t="shared" si="45"/>
        <v>500</v>
      </c>
    </row>
    <row r="40" spans="1:37" ht="15.75" thickBot="1" x14ac:dyDescent="0.3">
      <c r="A40" s="338" t="s">
        <v>336</v>
      </c>
      <c r="B40" s="339"/>
      <c r="C40" s="340"/>
      <c r="D40" s="216">
        <f>SUM(D29:D39)</f>
        <v>0</v>
      </c>
      <c r="E40" s="339"/>
      <c r="F40" s="340"/>
      <c r="G40" s="216">
        <f>SUM(G29:G39)</f>
        <v>0</v>
      </c>
      <c r="H40" s="339"/>
      <c r="I40" s="340"/>
      <c r="J40" s="340">
        <f t="shared" ref="J40" si="47">SUM(J29:J39)</f>
        <v>0</v>
      </c>
      <c r="K40" s="339"/>
      <c r="L40" s="340"/>
      <c r="M40" s="340">
        <f t="shared" ref="M40" si="48">SUM(M29:M39)</f>
        <v>0</v>
      </c>
      <c r="N40" s="339"/>
      <c r="O40" s="340"/>
      <c r="P40" s="340">
        <f t="shared" ref="P40" si="49">SUM(P29:P39)</f>
        <v>0</v>
      </c>
      <c r="Q40" s="339"/>
      <c r="R40" s="340"/>
      <c r="S40" s="340">
        <f t="shared" ref="S40" si="50">SUM(S29:S39)</f>
        <v>278</v>
      </c>
      <c r="T40" s="339"/>
      <c r="U40" s="340"/>
      <c r="V40" s="216">
        <f>SUM(V29:V39)</f>
        <v>157.69999999999999</v>
      </c>
      <c r="W40" s="339"/>
      <c r="X40" s="340"/>
      <c r="Y40" s="216">
        <f>SUM(Y29:Y39)</f>
        <v>0</v>
      </c>
      <c r="Z40" s="339"/>
      <c r="AA40" s="340"/>
      <c r="AB40" s="216">
        <f>SUM(AB29:AB39)</f>
        <v>360</v>
      </c>
      <c r="AC40" s="339"/>
      <c r="AD40" s="340"/>
      <c r="AE40" s="216">
        <f>SUM(AE29:AE39)</f>
        <v>21850</v>
      </c>
      <c r="AF40" s="339"/>
      <c r="AG40" s="340"/>
      <c r="AH40" s="216">
        <f>SUM(AH29:AH39)</f>
        <v>1100</v>
      </c>
      <c r="AI40" s="339"/>
      <c r="AJ40" s="340"/>
      <c r="AK40" s="216">
        <f>SUM(AK29:AK39)</f>
        <v>1450</v>
      </c>
    </row>
    <row r="41" spans="1:37" x14ac:dyDescent="0.25">
      <c r="A41" s="18" t="s">
        <v>62</v>
      </c>
      <c r="B41" s="19" t="s">
        <v>95</v>
      </c>
      <c r="C41" s="230" t="s">
        <v>96</v>
      </c>
      <c r="D41" s="220" t="s">
        <v>97</v>
      </c>
      <c r="E41" s="19" t="s">
        <v>95</v>
      </c>
      <c r="F41" s="230" t="s">
        <v>96</v>
      </c>
      <c r="G41" s="220" t="s">
        <v>97</v>
      </c>
      <c r="H41" s="19" t="s">
        <v>95</v>
      </c>
      <c r="I41" s="230" t="s">
        <v>96</v>
      </c>
      <c r="J41" s="220" t="s">
        <v>97</v>
      </c>
      <c r="K41" s="19" t="s">
        <v>95</v>
      </c>
      <c r="L41" s="230" t="s">
        <v>96</v>
      </c>
      <c r="M41" s="220" t="s">
        <v>97</v>
      </c>
      <c r="N41" s="19" t="s">
        <v>95</v>
      </c>
      <c r="O41" s="230" t="s">
        <v>96</v>
      </c>
      <c r="P41" s="220" t="s">
        <v>97</v>
      </c>
      <c r="Q41" s="19" t="s">
        <v>95</v>
      </c>
      <c r="R41" s="230" t="s">
        <v>96</v>
      </c>
      <c r="S41" s="220" t="s">
        <v>97</v>
      </c>
      <c r="T41" s="19" t="s">
        <v>95</v>
      </c>
      <c r="U41" s="230" t="s">
        <v>96</v>
      </c>
      <c r="V41" s="220" t="s">
        <v>97</v>
      </c>
      <c r="W41" s="19" t="s">
        <v>95</v>
      </c>
      <c r="X41" s="230" t="s">
        <v>96</v>
      </c>
      <c r="Y41" s="220" t="s">
        <v>97</v>
      </c>
      <c r="Z41" s="19" t="s">
        <v>95</v>
      </c>
      <c r="AA41" s="230" t="s">
        <v>96</v>
      </c>
      <c r="AB41" s="220" t="s">
        <v>97</v>
      </c>
      <c r="AC41" s="19" t="s">
        <v>95</v>
      </c>
      <c r="AD41" s="230" t="s">
        <v>96</v>
      </c>
      <c r="AE41" s="220" t="s">
        <v>97</v>
      </c>
      <c r="AF41" s="19" t="s">
        <v>95</v>
      </c>
      <c r="AG41" s="230" t="s">
        <v>96</v>
      </c>
      <c r="AH41" s="220" t="s">
        <v>97</v>
      </c>
      <c r="AI41" s="19" t="s">
        <v>95</v>
      </c>
      <c r="AJ41" s="230" t="s">
        <v>96</v>
      </c>
      <c r="AK41" s="220" t="s">
        <v>97</v>
      </c>
    </row>
    <row r="42" spans="1:37" x14ac:dyDescent="0.25">
      <c r="A42" s="15" t="s">
        <v>258</v>
      </c>
      <c r="B42" s="312"/>
      <c r="C42" s="305"/>
      <c r="D42" s="215">
        <f>C42*B42</f>
        <v>0</v>
      </c>
      <c r="E42" s="312"/>
      <c r="F42" s="305"/>
      <c r="G42" s="215">
        <f t="shared" ref="G42:G51" si="51">F42*E42</f>
        <v>0</v>
      </c>
      <c r="H42" s="312"/>
      <c r="I42" s="305"/>
      <c r="J42" s="215">
        <f t="shared" ref="J42:J51" si="52">I42*H42</f>
        <v>0</v>
      </c>
      <c r="K42" s="312"/>
      <c r="L42" s="305"/>
      <c r="M42" s="215">
        <f t="shared" ref="M42:M51" si="53">L42*K42</f>
        <v>0</v>
      </c>
      <c r="N42" s="312"/>
      <c r="O42" s="305"/>
      <c r="P42" s="215">
        <f t="shared" ref="P42:P51" si="54">O42*N42</f>
        <v>0</v>
      </c>
      <c r="Q42" s="312">
        <v>4</v>
      </c>
      <c r="R42" s="305">
        <v>30</v>
      </c>
      <c r="S42" s="215">
        <f t="shared" ref="S42:S51" si="55">R42*Q42</f>
        <v>120</v>
      </c>
      <c r="T42" s="312"/>
      <c r="U42" s="305"/>
      <c r="V42" s="215">
        <f t="shared" ref="V42:V51" si="56">U42*T42</f>
        <v>0</v>
      </c>
      <c r="W42" s="312"/>
      <c r="X42" s="305"/>
      <c r="Y42" s="215">
        <f t="shared" ref="Y42:Y51" si="57">X42*W42</f>
        <v>0</v>
      </c>
      <c r="Z42" s="312"/>
      <c r="AA42" s="305"/>
      <c r="AB42" s="215">
        <f t="shared" ref="AB42:AB51" si="58">AA42*Z42</f>
        <v>0</v>
      </c>
      <c r="AC42" s="312"/>
      <c r="AD42" s="305"/>
      <c r="AE42" s="215">
        <f t="shared" ref="AE42:AE51" si="59">AD42*AC42</f>
        <v>0</v>
      </c>
      <c r="AF42" s="312"/>
      <c r="AG42" s="305"/>
      <c r="AH42" s="215">
        <f t="shared" ref="AH42:AH51" si="60">AG42*AF42</f>
        <v>0</v>
      </c>
      <c r="AI42" s="312"/>
      <c r="AJ42" s="305"/>
      <c r="AK42" s="215">
        <f t="shared" ref="AK42:AK51" si="61">AJ42*AI42</f>
        <v>0</v>
      </c>
    </row>
    <row r="43" spans="1:37" x14ac:dyDescent="0.25">
      <c r="A43" s="15" t="s">
        <v>257</v>
      </c>
      <c r="B43" s="312"/>
      <c r="C43" s="305"/>
      <c r="D43" s="215">
        <f t="shared" ref="D43:D50" si="62">C43*B43</f>
        <v>0</v>
      </c>
      <c r="E43" s="312"/>
      <c r="F43" s="305"/>
      <c r="G43" s="215">
        <f t="shared" si="51"/>
        <v>0</v>
      </c>
      <c r="H43" s="312"/>
      <c r="I43" s="305"/>
      <c r="J43" s="215">
        <f t="shared" si="52"/>
        <v>0</v>
      </c>
      <c r="K43" s="312"/>
      <c r="L43" s="305"/>
      <c r="M43" s="215">
        <f t="shared" si="53"/>
        <v>0</v>
      </c>
      <c r="N43" s="312"/>
      <c r="O43" s="305"/>
      <c r="P43" s="215">
        <f t="shared" si="54"/>
        <v>0</v>
      </c>
      <c r="Q43" s="312"/>
      <c r="R43" s="305"/>
      <c r="S43" s="215">
        <f t="shared" si="55"/>
        <v>0</v>
      </c>
      <c r="T43" s="312"/>
      <c r="U43" s="305"/>
      <c r="V43" s="215">
        <f t="shared" si="56"/>
        <v>0</v>
      </c>
      <c r="W43" s="312"/>
      <c r="X43" s="305"/>
      <c r="Y43" s="215">
        <f t="shared" si="57"/>
        <v>0</v>
      </c>
      <c r="Z43" s="312"/>
      <c r="AA43" s="305"/>
      <c r="AB43" s="215">
        <f t="shared" si="58"/>
        <v>0</v>
      </c>
      <c r="AC43" s="312"/>
      <c r="AD43" s="305"/>
      <c r="AE43" s="215">
        <f t="shared" si="59"/>
        <v>0</v>
      </c>
      <c r="AF43" s="312"/>
      <c r="AG43" s="305"/>
      <c r="AH43" s="215">
        <f t="shared" si="60"/>
        <v>0</v>
      </c>
      <c r="AI43" s="312"/>
      <c r="AJ43" s="305"/>
      <c r="AK43" s="215">
        <f t="shared" si="61"/>
        <v>0</v>
      </c>
    </row>
    <row r="44" spans="1:37" x14ac:dyDescent="0.25">
      <c r="A44" s="15" t="s">
        <v>63</v>
      </c>
      <c r="B44" s="312">
        <v>1</v>
      </c>
      <c r="C44" s="305">
        <v>200</v>
      </c>
      <c r="D44" s="215">
        <f t="shared" si="62"/>
        <v>200</v>
      </c>
      <c r="E44" s="312"/>
      <c r="F44" s="305"/>
      <c r="G44" s="215">
        <f t="shared" si="51"/>
        <v>0</v>
      </c>
      <c r="H44" s="312">
        <v>4</v>
      </c>
      <c r="I44" s="305">
        <v>30</v>
      </c>
      <c r="J44" s="215">
        <f t="shared" si="52"/>
        <v>120</v>
      </c>
      <c r="K44" s="312"/>
      <c r="L44" s="305"/>
      <c r="M44" s="215">
        <f t="shared" si="53"/>
        <v>0</v>
      </c>
      <c r="N44" s="312">
        <v>8</v>
      </c>
      <c r="O44" s="305">
        <v>29</v>
      </c>
      <c r="P44" s="215">
        <f t="shared" si="54"/>
        <v>232</v>
      </c>
      <c r="Q44" s="312">
        <v>8</v>
      </c>
      <c r="R44" s="305">
        <v>30</v>
      </c>
      <c r="S44" s="215">
        <f t="shared" si="55"/>
        <v>240</v>
      </c>
      <c r="T44" s="312">
        <v>8</v>
      </c>
      <c r="U44" s="305">
        <v>28</v>
      </c>
      <c r="V44" s="215">
        <f t="shared" si="56"/>
        <v>224</v>
      </c>
      <c r="W44" s="312">
        <v>10</v>
      </c>
      <c r="X44" s="305">
        <v>28</v>
      </c>
      <c r="Y44" s="215">
        <f t="shared" si="57"/>
        <v>280</v>
      </c>
      <c r="Z44" s="312">
        <v>8</v>
      </c>
      <c r="AA44" s="305">
        <v>30</v>
      </c>
      <c r="AB44" s="215">
        <f t="shared" si="58"/>
        <v>240</v>
      </c>
      <c r="AC44" s="312">
        <v>8</v>
      </c>
      <c r="AD44" s="305">
        <v>30</v>
      </c>
      <c r="AE44" s="215">
        <f t="shared" si="59"/>
        <v>240</v>
      </c>
      <c r="AF44" s="312">
        <v>4</v>
      </c>
      <c r="AG44" s="305">
        <v>30</v>
      </c>
      <c r="AH44" s="215">
        <f t="shared" si="60"/>
        <v>120</v>
      </c>
      <c r="AI44" s="312">
        <v>8</v>
      </c>
      <c r="AJ44" s="305">
        <v>35</v>
      </c>
      <c r="AK44" s="215">
        <f t="shared" si="61"/>
        <v>280</v>
      </c>
    </row>
    <row r="45" spans="1:37" x14ac:dyDescent="0.25">
      <c r="A45" s="15" t="s">
        <v>64</v>
      </c>
      <c r="B45" s="312"/>
      <c r="C45" s="305"/>
      <c r="D45" s="215">
        <f t="shared" si="62"/>
        <v>0</v>
      </c>
      <c r="E45" s="312"/>
      <c r="F45" s="305"/>
      <c r="G45" s="215">
        <f t="shared" si="51"/>
        <v>0</v>
      </c>
      <c r="H45" s="312"/>
      <c r="I45" s="305"/>
      <c r="J45" s="215">
        <f t="shared" si="52"/>
        <v>0</v>
      </c>
      <c r="K45" s="312">
        <v>8</v>
      </c>
      <c r="L45" s="305">
        <v>29</v>
      </c>
      <c r="M45" s="215">
        <f t="shared" si="53"/>
        <v>232</v>
      </c>
      <c r="N45" s="312">
        <v>1</v>
      </c>
      <c r="O45" s="305">
        <v>33</v>
      </c>
      <c r="P45" s="215">
        <f t="shared" si="54"/>
        <v>33</v>
      </c>
      <c r="Q45" s="312">
        <v>4</v>
      </c>
      <c r="R45" s="305">
        <v>22</v>
      </c>
      <c r="S45" s="215">
        <f t="shared" si="55"/>
        <v>88</v>
      </c>
      <c r="T45" s="312"/>
      <c r="U45" s="305"/>
      <c r="V45" s="215">
        <f t="shared" si="56"/>
        <v>0</v>
      </c>
      <c r="W45" s="312"/>
      <c r="X45" s="305"/>
      <c r="Y45" s="215">
        <f t="shared" si="57"/>
        <v>0</v>
      </c>
      <c r="Z45" s="312"/>
      <c r="AA45" s="305"/>
      <c r="AB45" s="215">
        <f t="shared" si="58"/>
        <v>0</v>
      </c>
      <c r="AC45" s="312"/>
      <c r="AD45" s="305"/>
      <c r="AE45" s="215">
        <f t="shared" si="59"/>
        <v>0</v>
      </c>
      <c r="AF45" s="312"/>
      <c r="AG45" s="305"/>
      <c r="AH45" s="215">
        <f t="shared" si="60"/>
        <v>0</v>
      </c>
      <c r="AI45" s="312"/>
      <c r="AJ45" s="305"/>
      <c r="AK45" s="215">
        <f t="shared" si="61"/>
        <v>0</v>
      </c>
    </row>
    <row r="46" spans="1:37" x14ac:dyDescent="0.25">
      <c r="A46" s="15" t="s">
        <v>65</v>
      </c>
      <c r="B46" s="312"/>
      <c r="C46" s="305"/>
      <c r="D46" s="215">
        <f t="shared" si="62"/>
        <v>0</v>
      </c>
      <c r="E46" s="312"/>
      <c r="F46" s="305"/>
      <c r="G46" s="215">
        <f t="shared" si="51"/>
        <v>0</v>
      </c>
      <c r="H46" s="312"/>
      <c r="I46" s="305"/>
      <c r="J46" s="215">
        <f t="shared" si="52"/>
        <v>0</v>
      </c>
      <c r="K46" s="312"/>
      <c r="L46" s="305"/>
      <c r="M46" s="215">
        <f t="shared" si="53"/>
        <v>0</v>
      </c>
      <c r="N46" s="312">
        <v>4</v>
      </c>
      <c r="O46" s="305">
        <v>68</v>
      </c>
      <c r="P46" s="215">
        <f t="shared" si="54"/>
        <v>272</v>
      </c>
      <c r="Q46" s="312">
        <v>4</v>
      </c>
      <c r="R46" s="305">
        <v>33</v>
      </c>
      <c r="S46" s="215">
        <f t="shared" si="55"/>
        <v>132</v>
      </c>
      <c r="T46" s="312">
        <v>4</v>
      </c>
      <c r="U46" s="305">
        <v>33</v>
      </c>
      <c r="V46" s="215">
        <f t="shared" si="56"/>
        <v>132</v>
      </c>
      <c r="W46" s="312"/>
      <c r="X46" s="305"/>
      <c r="Y46" s="215">
        <f t="shared" si="57"/>
        <v>0</v>
      </c>
      <c r="Z46" s="312"/>
      <c r="AA46" s="305"/>
      <c r="AB46" s="215">
        <f t="shared" si="58"/>
        <v>0</v>
      </c>
      <c r="AC46" s="312"/>
      <c r="AD46" s="305"/>
      <c r="AE46" s="215">
        <f t="shared" si="59"/>
        <v>0</v>
      </c>
      <c r="AF46" s="312"/>
      <c r="AG46" s="305"/>
      <c r="AH46" s="215">
        <f t="shared" si="60"/>
        <v>0</v>
      </c>
      <c r="AI46" s="312"/>
      <c r="AJ46" s="305"/>
      <c r="AK46" s="215">
        <f t="shared" si="61"/>
        <v>0</v>
      </c>
    </row>
    <row r="47" spans="1:37" x14ac:dyDescent="0.25">
      <c r="A47" s="15" t="s">
        <v>66</v>
      </c>
      <c r="B47" s="312">
        <v>1</v>
      </c>
      <c r="C47" s="305">
        <v>360</v>
      </c>
      <c r="D47" s="215">
        <f t="shared" si="62"/>
        <v>360</v>
      </c>
      <c r="E47" s="312"/>
      <c r="F47" s="305"/>
      <c r="G47" s="215">
        <f t="shared" si="51"/>
        <v>0</v>
      </c>
      <c r="H47" s="312">
        <v>2</v>
      </c>
      <c r="I47" s="305">
        <v>70</v>
      </c>
      <c r="J47" s="215">
        <f t="shared" si="52"/>
        <v>140</v>
      </c>
      <c r="K47" s="312">
        <v>4</v>
      </c>
      <c r="L47" s="305">
        <v>68</v>
      </c>
      <c r="M47" s="215">
        <f t="shared" si="53"/>
        <v>272</v>
      </c>
      <c r="N47" s="312"/>
      <c r="O47" s="305"/>
      <c r="P47" s="215">
        <f t="shared" si="54"/>
        <v>0</v>
      </c>
      <c r="Q47" s="312">
        <v>4</v>
      </c>
      <c r="R47" s="305">
        <v>66</v>
      </c>
      <c r="S47" s="215">
        <f t="shared" si="55"/>
        <v>264</v>
      </c>
      <c r="T47" s="312">
        <v>6</v>
      </c>
      <c r="U47" s="305">
        <v>66</v>
      </c>
      <c r="V47" s="215">
        <f t="shared" si="56"/>
        <v>396</v>
      </c>
      <c r="W47" s="312">
        <v>5</v>
      </c>
      <c r="X47" s="305">
        <v>67</v>
      </c>
      <c r="Y47" s="215">
        <f t="shared" si="57"/>
        <v>335</v>
      </c>
      <c r="Z47" s="312">
        <v>4</v>
      </c>
      <c r="AA47" s="305">
        <v>85</v>
      </c>
      <c r="AB47" s="215">
        <f t="shared" si="58"/>
        <v>340</v>
      </c>
      <c r="AC47" s="312">
        <v>4</v>
      </c>
      <c r="AD47" s="305">
        <v>85</v>
      </c>
      <c r="AE47" s="215">
        <f t="shared" si="59"/>
        <v>340</v>
      </c>
      <c r="AF47" s="312">
        <v>3</v>
      </c>
      <c r="AG47" s="305">
        <v>85</v>
      </c>
      <c r="AH47" s="215">
        <f t="shared" si="60"/>
        <v>255</v>
      </c>
      <c r="AI47" s="312">
        <v>3</v>
      </c>
      <c r="AJ47" s="305">
        <v>85</v>
      </c>
      <c r="AK47" s="215">
        <f t="shared" si="61"/>
        <v>255</v>
      </c>
    </row>
    <row r="48" spans="1:37" x14ac:dyDescent="0.25">
      <c r="A48" s="15" t="s">
        <v>67</v>
      </c>
      <c r="B48" s="312"/>
      <c r="C48" s="305"/>
      <c r="D48" s="215">
        <f t="shared" si="62"/>
        <v>0</v>
      </c>
      <c r="E48" s="312"/>
      <c r="F48" s="305"/>
      <c r="G48" s="215">
        <f t="shared" si="51"/>
        <v>0</v>
      </c>
      <c r="H48" s="312"/>
      <c r="I48" s="305"/>
      <c r="J48" s="215">
        <f t="shared" si="52"/>
        <v>0</v>
      </c>
      <c r="K48" s="312"/>
      <c r="L48" s="305"/>
      <c r="M48" s="215">
        <f t="shared" si="53"/>
        <v>0</v>
      </c>
      <c r="N48" s="312"/>
      <c r="O48" s="305"/>
      <c r="P48" s="215">
        <f t="shared" si="54"/>
        <v>0</v>
      </c>
      <c r="Q48" s="312"/>
      <c r="R48" s="305"/>
      <c r="S48" s="215">
        <f t="shared" si="55"/>
        <v>0</v>
      </c>
      <c r="T48" s="312"/>
      <c r="U48" s="305"/>
      <c r="V48" s="215">
        <f t="shared" si="56"/>
        <v>0</v>
      </c>
      <c r="W48" s="312"/>
      <c r="X48" s="305"/>
      <c r="Y48" s="215">
        <f t="shared" si="57"/>
        <v>0</v>
      </c>
      <c r="Z48" s="312"/>
      <c r="AA48" s="305"/>
      <c r="AB48" s="215">
        <f t="shared" si="58"/>
        <v>0</v>
      </c>
      <c r="AC48" s="312"/>
      <c r="AD48" s="305"/>
      <c r="AE48" s="215">
        <f t="shared" si="59"/>
        <v>0</v>
      </c>
      <c r="AF48" s="312"/>
      <c r="AG48" s="305"/>
      <c r="AH48" s="215">
        <f t="shared" si="60"/>
        <v>0</v>
      </c>
      <c r="AI48" s="312"/>
      <c r="AJ48" s="305"/>
      <c r="AK48" s="215">
        <f t="shared" si="61"/>
        <v>0</v>
      </c>
    </row>
    <row r="49" spans="1:37" x14ac:dyDescent="0.25">
      <c r="A49" s="15" t="s">
        <v>68</v>
      </c>
      <c r="B49" s="312"/>
      <c r="C49" s="305"/>
      <c r="D49" s="215">
        <f t="shared" si="62"/>
        <v>0</v>
      </c>
      <c r="E49" s="312"/>
      <c r="F49" s="305"/>
      <c r="G49" s="215">
        <f t="shared" si="51"/>
        <v>0</v>
      </c>
      <c r="H49" s="312"/>
      <c r="I49" s="305"/>
      <c r="J49" s="215">
        <f t="shared" si="52"/>
        <v>0</v>
      </c>
      <c r="K49" s="312">
        <v>2</v>
      </c>
      <c r="L49" s="305">
        <v>39</v>
      </c>
      <c r="M49" s="215">
        <f t="shared" si="53"/>
        <v>78</v>
      </c>
      <c r="N49" s="312"/>
      <c r="O49" s="305"/>
      <c r="P49" s="215">
        <f t="shared" si="54"/>
        <v>0</v>
      </c>
      <c r="Q49" s="312"/>
      <c r="R49" s="305"/>
      <c r="S49" s="215">
        <f t="shared" si="55"/>
        <v>0</v>
      </c>
      <c r="T49" s="312"/>
      <c r="U49" s="305"/>
      <c r="V49" s="215">
        <f t="shared" si="56"/>
        <v>0</v>
      </c>
      <c r="W49" s="312"/>
      <c r="X49" s="305"/>
      <c r="Y49" s="215">
        <f t="shared" si="57"/>
        <v>0</v>
      </c>
      <c r="Z49" s="312"/>
      <c r="AA49" s="305"/>
      <c r="AB49" s="215">
        <f t="shared" si="58"/>
        <v>0</v>
      </c>
      <c r="AC49" s="312"/>
      <c r="AD49" s="305"/>
      <c r="AE49" s="215">
        <f t="shared" si="59"/>
        <v>0</v>
      </c>
      <c r="AF49" s="312"/>
      <c r="AG49" s="305"/>
      <c r="AH49" s="215">
        <f t="shared" si="60"/>
        <v>0</v>
      </c>
      <c r="AI49" s="312"/>
      <c r="AJ49" s="305"/>
      <c r="AK49" s="215">
        <f t="shared" si="61"/>
        <v>0</v>
      </c>
    </row>
    <row r="50" spans="1:37" x14ac:dyDescent="0.25">
      <c r="A50" s="15" t="s">
        <v>347</v>
      </c>
      <c r="B50" s="312"/>
      <c r="C50" s="305"/>
      <c r="D50" s="215">
        <f t="shared" si="62"/>
        <v>0</v>
      </c>
      <c r="E50" s="312"/>
      <c r="F50" s="305"/>
      <c r="G50" s="215">
        <f t="shared" si="51"/>
        <v>0</v>
      </c>
      <c r="H50" s="312"/>
      <c r="I50" s="305"/>
      <c r="J50" s="215">
        <f t="shared" si="52"/>
        <v>0</v>
      </c>
      <c r="K50" s="312"/>
      <c r="L50" s="305"/>
      <c r="M50" s="215">
        <f t="shared" si="53"/>
        <v>0</v>
      </c>
      <c r="N50" s="312"/>
      <c r="O50" s="305"/>
      <c r="P50" s="215">
        <f t="shared" si="54"/>
        <v>0</v>
      </c>
      <c r="Q50" s="312"/>
      <c r="R50" s="305"/>
      <c r="S50" s="215">
        <f t="shared" si="55"/>
        <v>0</v>
      </c>
      <c r="T50" s="312"/>
      <c r="U50" s="305"/>
      <c r="V50" s="215">
        <f t="shared" si="56"/>
        <v>0</v>
      </c>
      <c r="W50" s="312"/>
      <c r="X50" s="305"/>
      <c r="Y50" s="215">
        <f t="shared" si="57"/>
        <v>0</v>
      </c>
      <c r="Z50" s="312"/>
      <c r="AA50" s="305"/>
      <c r="AB50" s="215">
        <f t="shared" si="58"/>
        <v>0</v>
      </c>
      <c r="AC50" s="312"/>
      <c r="AD50" s="305"/>
      <c r="AE50" s="215">
        <f t="shared" si="59"/>
        <v>0</v>
      </c>
      <c r="AF50" s="312"/>
      <c r="AG50" s="305"/>
      <c r="AH50" s="215">
        <f t="shared" si="60"/>
        <v>0</v>
      </c>
      <c r="AI50" s="312"/>
      <c r="AJ50" s="305"/>
      <c r="AK50" s="215">
        <f t="shared" si="61"/>
        <v>0</v>
      </c>
    </row>
    <row r="51" spans="1:37" x14ac:dyDescent="0.25">
      <c r="A51" s="15" t="s">
        <v>348</v>
      </c>
      <c r="B51" s="312"/>
      <c r="C51" s="305"/>
      <c r="D51" s="215">
        <f t="shared" ref="D51" si="63">C51*B51</f>
        <v>0</v>
      </c>
      <c r="E51" s="312">
        <v>3</v>
      </c>
      <c r="F51" s="305">
        <v>200</v>
      </c>
      <c r="G51" s="215">
        <f t="shared" si="51"/>
        <v>600</v>
      </c>
      <c r="H51" s="312">
        <v>2</v>
      </c>
      <c r="I51" s="305">
        <v>200</v>
      </c>
      <c r="J51" s="215">
        <f t="shared" si="52"/>
        <v>400</v>
      </c>
      <c r="K51" s="312">
        <v>2</v>
      </c>
      <c r="L51" s="305">
        <v>200</v>
      </c>
      <c r="M51" s="215">
        <f t="shared" si="53"/>
        <v>400</v>
      </c>
      <c r="N51" s="312">
        <v>2</v>
      </c>
      <c r="O51" s="305">
        <v>220</v>
      </c>
      <c r="P51" s="215">
        <f t="shared" si="54"/>
        <v>440</v>
      </c>
      <c r="Q51" s="312">
        <v>2</v>
      </c>
      <c r="R51" s="305">
        <v>250</v>
      </c>
      <c r="S51" s="215">
        <f t="shared" si="55"/>
        <v>500</v>
      </c>
      <c r="T51" s="312"/>
      <c r="U51" s="305"/>
      <c r="V51" s="215">
        <f t="shared" si="56"/>
        <v>0</v>
      </c>
      <c r="W51" s="312"/>
      <c r="X51" s="305"/>
      <c r="Y51" s="215">
        <f t="shared" si="57"/>
        <v>0</v>
      </c>
      <c r="Z51" s="312"/>
      <c r="AA51" s="305"/>
      <c r="AB51" s="215">
        <f t="shared" si="58"/>
        <v>0</v>
      </c>
      <c r="AC51" s="312"/>
      <c r="AD51" s="305"/>
      <c r="AE51" s="215">
        <f t="shared" si="59"/>
        <v>0</v>
      </c>
      <c r="AF51" s="312">
        <v>5</v>
      </c>
      <c r="AG51" s="305">
        <v>30</v>
      </c>
      <c r="AH51" s="215">
        <f t="shared" si="60"/>
        <v>150</v>
      </c>
      <c r="AI51" s="312">
        <v>6</v>
      </c>
      <c r="AJ51" s="305">
        <v>25</v>
      </c>
      <c r="AK51" s="215">
        <f t="shared" si="61"/>
        <v>150</v>
      </c>
    </row>
    <row r="52" spans="1:37" ht="15.75" thickBot="1" x14ac:dyDescent="0.3">
      <c r="A52" s="347" t="s">
        <v>336</v>
      </c>
      <c r="B52" s="348"/>
      <c r="C52" s="349"/>
      <c r="D52" s="350">
        <f>SUM(D42:D51)</f>
        <v>560</v>
      </c>
      <c r="E52" s="348"/>
      <c r="F52" s="349"/>
      <c r="G52" s="350">
        <f>SUM(G42:G51)</f>
        <v>600</v>
      </c>
      <c r="H52" s="348"/>
      <c r="I52" s="349"/>
      <c r="J52" s="350">
        <f>SUM(J42:J51)</f>
        <v>660</v>
      </c>
      <c r="K52" s="348"/>
      <c r="L52" s="349"/>
      <c r="M52" s="350">
        <f>SUM(M42:M51)</f>
        <v>982</v>
      </c>
      <c r="N52" s="348"/>
      <c r="O52" s="349"/>
      <c r="P52" s="350">
        <f>SUM(P42:P51)</f>
        <v>977</v>
      </c>
      <c r="Q52" s="348"/>
      <c r="R52" s="349"/>
      <c r="S52" s="350">
        <f>SUM(S42:S51)</f>
        <v>1344</v>
      </c>
      <c r="T52" s="348"/>
      <c r="U52" s="349"/>
      <c r="V52" s="350">
        <f>SUM(V42:V51)</f>
        <v>752</v>
      </c>
      <c r="W52" s="348"/>
      <c r="X52" s="349"/>
      <c r="Y52" s="350">
        <f>SUM(Y42:Y51)</f>
        <v>615</v>
      </c>
      <c r="Z52" s="348"/>
      <c r="AA52" s="349"/>
      <c r="AB52" s="350">
        <f>SUM(AB42:AB51)</f>
        <v>580</v>
      </c>
      <c r="AC52" s="348"/>
      <c r="AD52" s="349"/>
      <c r="AE52" s="350">
        <f>SUM(AE42:AE51)</f>
        <v>580</v>
      </c>
      <c r="AF52" s="348"/>
      <c r="AG52" s="349"/>
      <c r="AH52" s="350">
        <f>SUM(AH42:AH51)</f>
        <v>525</v>
      </c>
      <c r="AI52" s="348"/>
      <c r="AJ52" s="349"/>
      <c r="AK52" s="350">
        <f>SUM(AK42:AK51)</f>
        <v>685</v>
      </c>
    </row>
    <row r="53" spans="1:37" x14ac:dyDescent="0.25">
      <c r="A53" s="20" t="s">
        <v>69</v>
      </c>
      <c r="B53" s="21" t="s">
        <v>95</v>
      </c>
      <c r="C53" s="230" t="s">
        <v>96</v>
      </c>
      <c r="D53" s="220" t="s">
        <v>97</v>
      </c>
      <c r="E53" s="21" t="s">
        <v>95</v>
      </c>
      <c r="F53" s="230" t="s">
        <v>96</v>
      </c>
      <c r="G53" s="220" t="s">
        <v>97</v>
      </c>
      <c r="H53" s="21" t="s">
        <v>95</v>
      </c>
      <c r="I53" s="230" t="s">
        <v>96</v>
      </c>
      <c r="J53" s="220" t="s">
        <v>97</v>
      </c>
      <c r="K53" s="21" t="s">
        <v>95</v>
      </c>
      <c r="L53" s="230" t="s">
        <v>96</v>
      </c>
      <c r="M53" s="220" t="s">
        <v>97</v>
      </c>
      <c r="N53" s="21" t="s">
        <v>95</v>
      </c>
      <c r="O53" s="230" t="s">
        <v>96</v>
      </c>
      <c r="P53" s="220" t="s">
        <v>97</v>
      </c>
      <c r="Q53" s="21" t="s">
        <v>95</v>
      </c>
      <c r="R53" s="230" t="s">
        <v>96</v>
      </c>
      <c r="S53" s="220" t="s">
        <v>97</v>
      </c>
      <c r="T53" s="21" t="s">
        <v>95</v>
      </c>
      <c r="U53" s="230" t="s">
        <v>96</v>
      </c>
      <c r="V53" s="220" t="s">
        <v>97</v>
      </c>
      <c r="W53" s="21" t="s">
        <v>95</v>
      </c>
      <c r="X53" s="230" t="s">
        <v>96</v>
      </c>
      <c r="Y53" s="220" t="s">
        <v>97</v>
      </c>
      <c r="Z53" s="21" t="s">
        <v>95</v>
      </c>
      <c r="AA53" s="230" t="s">
        <v>96</v>
      </c>
      <c r="AB53" s="220" t="s">
        <v>97</v>
      </c>
      <c r="AC53" s="21" t="s">
        <v>95</v>
      </c>
      <c r="AD53" s="230" t="s">
        <v>96</v>
      </c>
      <c r="AE53" s="220" t="s">
        <v>97</v>
      </c>
      <c r="AF53" s="21" t="s">
        <v>95</v>
      </c>
      <c r="AG53" s="230" t="s">
        <v>96</v>
      </c>
      <c r="AH53" s="220" t="s">
        <v>97</v>
      </c>
      <c r="AI53" s="21" t="s">
        <v>95</v>
      </c>
      <c r="AJ53" s="230" t="s">
        <v>96</v>
      </c>
      <c r="AK53" s="220" t="s">
        <v>97</v>
      </c>
    </row>
    <row r="54" spans="1:37" x14ac:dyDescent="0.25">
      <c r="A54" s="15" t="s">
        <v>71</v>
      </c>
      <c r="B54" s="312"/>
      <c r="C54" s="305"/>
      <c r="D54" s="215">
        <f>B54*C54</f>
        <v>0</v>
      </c>
      <c r="E54" s="312"/>
      <c r="F54" s="305"/>
      <c r="G54" s="215">
        <f t="shared" ref="G54:G59" si="64">E54*F54</f>
        <v>0</v>
      </c>
      <c r="H54" s="312"/>
      <c r="I54" s="305"/>
      <c r="J54" s="215">
        <f t="shared" ref="J54:J59" si="65">H54*I54</f>
        <v>0</v>
      </c>
      <c r="K54" s="312"/>
      <c r="L54" s="305"/>
      <c r="M54" s="215">
        <f t="shared" ref="M54:M59" si="66">K54*L54</f>
        <v>0</v>
      </c>
      <c r="N54" s="312">
        <v>2</v>
      </c>
      <c r="O54" s="305">
        <v>6.5</v>
      </c>
      <c r="P54" s="215">
        <f t="shared" ref="P54:P59" si="67">N54*O54</f>
        <v>13</v>
      </c>
      <c r="Q54" s="312">
        <v>2</v>
      </c>
      <c r="R54" s="305">
        <v>6.5</v>
      </c>
      <c r="S54" s="215">
        <f t="shared" ref="S54:S59" si="68">Q54*R54</f>
        <v>13</v>
      </c>
      <c r="T54" s="312"/>
      <c r="U54" s="305"/>
      <c r="V54" s="215">
        <f t="shared" ref="V54:V59" si="69">T54*U54</f>
        <v>0</v>
      </c>
      <c r="W54" s="312"/>
      <c r="X54" s="305"/>
      <c r="Y54" s="215">
        <f t="shared" ref="Y54:Y59" si="70">W54*X54</f>
        <v>0</v>
      </c>
      <c r="Z54" s="312"/>
      <c r="AA54" s="305"/>
      <c r="AB54" s="215">
        <f t="shared" ref="AB54:AB59" si="71">Z54*AA54</f>
        <v>0</v>
      </c>
      <c r="AC54" s="312"/>
      <c r="AD54" s="305"/>
      <c r="AE54" s="215">
        <f t="shared" ref="AE54:AE59" si="72">AC54*AD54</f>
        <v>0</v>
      </c>
      <c r="AF54" s="312"/>
      <c r="AG54" s="305"/>
      <c r="AH54" s="215">
        <f t="shared" ref="AH54:AH59" si="73">AF54*AG54</f>
        <v>0</v>
      </c>
      <c r="AI54" s="312"/>
      <c r="AJ54" s="305"/>
      <c r="AK54" s="215">
        <f t="shared" ref="AK54:AK59" si="74">AI54*AJ54</f>
        <v>0</v>
      </c>
    </row>
    <row r="55" spans="1:37" x14ac:dyDescent="0.25">
      <c r="A55" s="15" t="s">
        <v>72</v>
      </c>
      <c r="B55" s="362"/>
      <c r="C55" s="329"/>
      <c r="D55" s="221">
        <f t="shared" ref="D55:D59" si="75">B55*C55</f>
        <v>0</v>
      </c>
      <c r="E55" s="362">
        <v>3</v>
      </c>
      <c r="F55" s="329">
        <v>150</v>
      </c>
      <c r="G55" s="221">
        <f t="shared" si="64"/>
        <v>450</v>
      </c>
      <c r="H55" s="362"/>
      <c r="I55" s="329"/>
      <c r="J55" s="221">
        <f t="shared" si="65"/>
        <v>0</v>
      </c>
      <c r="K55" s="362"/>
      <c r="L55" s="329"/>
      <c r="M55" s="221">
        <f t="shared" si="66"/>
        <v>0</v>
      </c>
      <c r="N55" s="362"/>
      <c r="O55" s="329"/>
      <c r="P55" s="221">
        <f t="shared" si="67"/>
        <v>0</v>
      </c>
      <c r="Q55" s="362"/>
      <c r="R55" s="329"/>
      <c r="S55" s="221">
        <f t="shared" si="68"/>
        <v>0</v>
      </c>
      <c r="T55" s="362"/>
      <c r="U55" s="329"/>
      <c r="V55" s="221">
        <f t="shared" si="69"/>
        <v>0</v>
      </c>
      <c r="W55" s="362">
        <v>3</v>
      </c>
      <c r="X55" s="329">
        <v>97.5</v>
      </c>
      <c r="Y55" s="221">
        <f t="shared" si="70"/>
        <v>292.5</v>
      </c>
      <c r="Z55" s="362">
        <v>1</v>
      </c>
      <c r="AA55" s="329">
        <v>52</v>
      </c>
      <c r="AB55" s="221">
        <f t="shared" si="71"/>
        <v>52</v>
      </c>
      <c r="AC55" s="362">
        <v>1</v>
      </c>
      <c r="AD55" s="329">
        <v>52</v>
      </c>
      <c r="AE55" s="221">
        <f t="shared" si="72"/>
        <v>52</v>
      </c>
      <c r="AF55" s="362">
        <v>1</v>
      </c>
      <c r="AG55" s="329">
        <v>52</v>
      </c>
      <c r="AH55" s="221">
        <f t="shared" si="73"/>
        <v>52</v>
      </c>
      <c r="AI55" s="362"/>
      <c r="AJ55" s="329"/>
      <c r="AK55" s="221">
        <f t="shared" si="74"/>
        <v>0</v>
      </c>
    </row>
    <row r="56" spans="1:37" x14ac:dyDescent="0.25">
      <c r="A56" s="15" t="s">
        <v>73</v>
      </c>
      <c r="B56" s="312"/>
      <c r="C56" s="305"/>
      <c r="D56" s="215">
        <f t="shared" si="75"/>
        <v>0</v>
      </c>
      <c r="E56" s="312"/>
      <c r="F56" s="305"/>
      <c r="G56" s="215">
        <f t="shared" si="64"/>
        <v>0</v>
      </c>
      <c r="H56" s="312"/>
      <c r="I56" s="305"/>
      <c r="J56" s="215">
        <f t="shared" si="65"/>
        <v>0</v>
      </c>
      <c r="K56" s="312"/>
      <c r="L56" s="305"/>
      <c r="M56" s="215">
        <f t="shared" si="66"/>
        <v>0</v>
      </c>
      <c r="N56" s="312"/>
      <c r="O56" s="305"/>
      <c r="P56" s="215">
        <f t="shared" si="67"/>
        <v>0</v>
      </c>
      <c r="Q56" s="312"/>
      <c r="R56" s="305"/>
      <c r="S56" s="215">
        <f t="shared" si="68"/>
        <v>0</v>
      </c>
      <c r="T56" s="312"/>
      <c r="U56" s="305"/>
      <c r="V56" s="215">
        <f t="shared" si="69"/>
        <v>0</v>
      </c>
      <c r="W56" s="312"/>
      <c r="X56" s="305"/>
      <c r="Y56" s="215">
        <f t="shared" si="70"/>
        <v>0</v>
      </c>
      <c r="Z56" s="312"/>
      <c r="AA56" s="305"/>
      <c r="AB56" s="215">
        <f t="shared" si="71"/>
        <v>0</v>
      </c>
      <c r="AC56" s="312"/>
      <c r="AD56" s="305"/>
      <c r="AE56" s="215">
        <f t="shared" si="72"/>
        <v>0</v>
      </c>
      <c r="AF56" s="312"/>
      <c r="AG56" s="305"/>
      <c r="AH56" s="215">
        <f t="shared" si="73"/>
        <v>0</v>
      </c>
      <c r="AI56" s="312"/>
      <c r="AJ56" s="305"/>
      <c r="AK56" s="215">
        <f t="shared" si="74"/>
        <v>0</v>
      </c>
    </row>
    <row r="57" spans="1:37" x14ac:dyDescent="0.25">
      <c r="A57" s="15" t="s">
        <v>74</v>
      </c>
      <c r="B57" s="312"/>
      <c r="C57" s="305"/>
      <c r="D57" s="215">
        <f t="shared" si="75"/>
        <v>0</v>
      </c>
      <c r="E57" s="312"/>
      <c r="F57" s="305"/>
      <c r="G57" s="215">
        <f t="shared" si="64"/>
        <v>0</v>
      </c>
      <c r="H57" s="312"/>
      <c r="I57" s="305"/>
      <c r="J57" s="215">
        <f t="shared" si="65"/>
        <v>0</v>
      </c>
      <c r="K57" s="312"/>
      <c r="L57" s="305"/>
      <c r="M57" s="215">
        <f t="shared" si="66"/>
        <v>0</v>
      </c>
      <c r="N57" s="312"/>
      <c r="O57" s="305"/>
      <c r="P57" s="215">
        <f t="shared" si="67"/>
        <v>0</v>
      </c>
      <c r="Q57" s="312"/>
      <c r="R57" s="305"/>
      <c r="S57" s="215">
        <f t="shared" si="68"/>
        <v>0</v>
      </c>
      <c r="T57" s="312"/>
      <c r="U57" s="305"/>
      <c r="V57" s="215">
        <f t="shared" si="69"/>
        <v>0</v>
      </c>
      <c r="W57" s="312"/>
      <c r="X57" s="305"/>
      <c r="Y57" s="215">
        <f t="shared" si="70"/>
        <v>0</v>
      </c>
      <c r="Z57" s="312"/>
      <c r="AA57" s="305"/>
      <c r="AB57" s="215">
        <f t="shared" si="71"/>
        <v>0</v>
      </c>
      <c r="AC57" s="312"/>
      <c r="AD57" s="305"/>
      <c r="AE57" s="215">
        <f t="shared" si="72"/>
        <v>0</v>
      </c>
      <c r="AF57" s="312"/>
      <c r="AG57" s="305"/>
      <c r="AH57" s="215">
        <f t="shared" si="73"/>
        <v>0</v>
      </c>
      <c r="AI57" s="312"/>
      <c r="AJ57" s="305"/>
      <c r="AK57" s="215">
        <f t="shared" si="74"/>
        <v>0</v>
      </c>
    </row>
    <row r="58" spans="1:37" x14ac:dyDescent="0.25">
      <c r="A58" s="15" t="s">
        <v>75</v>
      </c>
      <c r="B58" s="312"/>
      <c r="C58" s="305"/>
      <c r="D58" s="215">
        <f t="shared" si="75"/>
        <v>0</v>
      </c>
      <c r="E58" s="312"/>
      <c r="F58" s="305"/>
      <c r="G58" s="215">
        <f t="shared" si="64"/>
        <v>0</v>
      </c>
      <c r="H58" s="312"/>
      <c r="I58" s="305"/>
      <c r="J58" s="215">
        <f t="shared" si="65"/>
        <v>0</v>
      </c>
      <c r="K58" s="312"/>
      <c r="L58" s="305"/>
      <c r="M58" s="215">
        <f t="shared" si="66"/>
        <v>0</v>
      </c>
      <c r="N58" s="312"/>
      <c r="O58" s="305"/>
      <c r="P58" s="215">
        <f t="shared" si="67"/>
        <v>0</v>
      </c>
      <c r="Q58" s="312"/>
      <c r="R58" s="305"/>
      <c r="S58" s="215">
        <f t="shared" si="68"/>
        <v>0</v>
      </c>
      <c r="T58" s="312"/>
      <c r="U58" s="305"/>
      <c r="V58" s="215">
        <f t="shared" si="69"/>
        <v>0</v>
      </c>
      <c r="W58" s="312"/>
      <c r="X58" s="305"/>
      <c r="Y58" s="215">
        <f t="shared" si="70"/>
        <v>0</v>
      </c>
      <c r="Z58" s="312"/>
      <c r="AA58" s="305"/>
      <c r="AB58" s="215">
        <f t="shared" si="71"/>
        <v>0</v>
      </c>
      <c r="AC58" s="312"/>
      <c r="AD58" s="305"/>
      <c r="AE58" s="215">
        <f t="shared" si="72"/>
        <v>0</v>
      </c>
      <c r="AF58" s="312"/>
      <c r="AG58" s="305"/>
      <c r="AH58" s="215">
        <f t="shared" si="73"/>
        <v>0</v>
      </c>
      <c r="AI58" s="312"/>
      <c r="AJ58" s="305"/>
      <c r="AK58" s="215">
        <f t="shared" si="74"/>
        <v>0</v>
      </c>
    </row>
    <row r="59" spans="1:37" x14ac:dyDescent="0.25">
      <c r="A59" s="15" t="s">
        <v>76</v>
      </c>
      <c r="B59" s="312"/>
      <c r="C59" s="305"/>
      <c r="D59" s="215">
        <f t="shared" si="75"/>
        <v>0</v>
      </c>
      <c r="E59" s="312"/>
      <c r="F59" s="305"/>
      <c r="G59" s="215">
        <f t="shared" si="64"/>
        <v>0</v>
      </c>
      <c r="H59" s="312"/>
      <c r="I59" s="305"/>
      <c r="J59" s="215">
        <f t="shared" si="65"/>
        <v>0</v>
      </c>
      <c r="K59" s="312"/>
      <c r="L59" s="305"/>
      <c r="M59" s="215">
        <f t="shared" si="66"/>
        <v>0</v>
      </c>
      <c r="N59" s="312"/>
      <c r="O59" s="305"/>
      <c r="P59" s="215">
        <f t="shared" si="67"/>
        <v>0</v>
      </c>
      <c r="Q59" s="312"/>
      <c r="R59" s="305"/>
      <c r="S59" s="215">
        <f t="shared" si="68"/>
        <v>0</v>
      </c>
      <c r="T59" s="312"/>
      <c r="U59" s="305"/>
      <c r="V59" s="215">
        <f t="shared" si="69"/>
        <v>0</v>
      </c>
      <c r="W59" s="312"/>
      <c r="X59" s="305"/>
      <c r="Y59" s="215">
        <f t="shared" si="70"/>
        <v>0</v>
      </c>
      <c r="Z59" s="312"/>
      <c r="AA59" s="305"/>
      <c r="AB59" s="215">
        <f t="shared" si="71"/>
        <v>0</v>
      </c>
      <c r="AC59" s="312"/>
      <c r="AD59" s="305"/>
      <c r="AE59" s="215">
        <f t="shared" si="72"/>
        <v>0</v>
      </c>
      <c r="AF59" s="312"/>
      <c r="AG59" s="305"/>
      <c r="AH59" s="215">
        <f t="shared" si="73"/>
        <v>0</v>
      </c>
      <c r="AI59" s="312"/>
      <c r="AJ59" s="305"/>
      <c r="AK59" s="215">
        <f t="shared" si="74"/>
        <v>0</v>
      </c>
    </row>
    <row r="60" spans="1:37" ht="15.75" thickBot="1" x14ac:dyDescent="0.3">
      <c r="A60" s="347" t="s">
        <v>336</v>
      </c>
      <c r="B60" s="348"/>
      <c r="C60" s="349"/>
      <c r="D60" s="350">
        <f>SUM(D54:D59)</f>
        <v>0</v>
      </c>
      <c r="E60" s="348"/>
      <c r="F60" s="349"/>
      <c r="G60" s="350">
        <f>SUM(G54:G59)</f>
        <v>450</v>
      </c>
      <c r="H60" s="348"/>
      <c r="I60" s="349"/>
      <c r="J60" s="350">
        <f>SUM(J54:J59)</f>
        <v>0</v>
      </c>
      <c r="K60" s="348"/>
      <c r="L60" s="349"/>
      <c r="M60" s="350">
        <f>SUM(M54:M59)</f>
        <v>0</v>
      </c>
      <c r="N60" s="348"/>
      <c r="O60" s="349"/>
      <c r="P60" s="350">
        <f>SUM(P54:P59)</f>
        <v>13</v>
      </c>
      <c r="Q60" s="348"/>
      <c r="R60" s="349"/>
      <c r="S60" s="350">
        <f>SUM(S54:S59)</f>
        <v>13</v>
      </c>
      <c r="T60" s="348"/>
      <c r="U60" s="349"/>
      <c r="V60" s="350">
        <f>SUM(V54:V59)</f>
        <v>0</v>
      </c>
      <c r="W60" s="348"/>
      <c r="X60" s="349"/>
      <c r="Y60" s="350">
        <f>SUM(Y54:Y59)</f>
        <v>292.5</v>
      </c>
      <c r="Z60" s="348"/>
      <c r="AA60" s="349"/>
      <c r="AB60" s="350">
        <f>SUM(AB54:AB59)</f>
        <v>52</v>
      </c>
      <c r="AC60" s="348"/>
      <c r="AD60" s="349"/>
      <c r="AE60" s="350">
        <f>SUM(AE54:AE59)</f>
        <v>52</v>
      </c>
      <c r="AF60" s="348"/>
      <c r="AG60" s="349"/>
      <c r="AH60" s="350">
        <f>SUM(AH54:AH59)</f>
        <v>52</v>
      </c>
      <c r="AI60" s="348"/>
      <c r="AJ60" s="349"/>
      <c r="AK60" s="350">
        <f>SUM(AK54:AK59)</f>
        <v>0</v>
      </c>
    </row>
    <row r="61" spans="1:37" x14ac:dyDescent="0.25">
      <c r="A61" s="18" t="s">
        <v>70</v>
      </c>
      <c r="B61" s="19" t="s">
        <v>95</v>
      </c>
      <c r="C61" s="230" t="s">
        <v>96</v>
      </c>
      <c r="D61" s="220" t="s">
        <v>97</v>
      </c>
      <c r="E61" s="19" t="s">
        <v>95</v>
      </c>
      <c r="F61" s="230" t="s">
        <v>96</v>
      </c>
      <c r="G61" s="220" t="s">
        <v>97</v>
      </c>
      <c r="H61" s="19" t="s">
        <v>95</v>
      </c>
      <c r="I61" s="230" t="s">
        <v>96</v>
      </c>
      <c r="J61" s="220" t="s">
        <v>97</v>
      </c>
      <c r="K61" s="19" t="s">
        <v>95</v>
      </c>
      <c r="L61" s="230" t="s">
        <v>96</v>
      </c>
      <c r="M61" s="220" t="s">
        <v>97</v>
      </c>
      <c r="N61" s="19" t="s">
        <v>95</v>
      </c>
      <c r="O61" s="230" t="s">
        <v>96</v>
      </c>
      <c r="P61" s="220" t="s">
        <v>97</v>
      </c>
      <c r="Q61" s="19" t="s">
        <v>95</v>
      </c>
      <c r="R61" s="230" t="s">
        <v>96</v>
      </c>
      <c r="S61" s="220" t="s">
        <v>97</v>
      </c>
      <c r="T61" s="19" t="s">
        <v>95</v>
      </c>
      <c r="U61" s="230" t="s">
        <v>96</v>
      </c>
      <c r="V61" s="220" t="s">
        <v>97</v>
      </c>
      <c r="W61" s="19" t="s">
        <v>95</v>
      </c>
      <c r="X61" s="230" t="s">
        <v>96</v>
      </c>
      <c r="Y61" s="220" t="s">
        <v>97</v>
      </c>
      <c r="Z61" s="19" t="s">
        <v>95</v>
      </c>
      <c r="AA61" s="230" t="s">
        <v>96</v>
      </c>
      <c r="AB61" s="220" t="s">
        <v>97</v>
      </c>
      <c r="AC61" s="19" t="s">
        <v>95</v>
      </c>
      <c r="AD61" s="230" t="s">
        <v>96</v>
      </c>
      <c r="AE61" s="220" t="s">
        <v>97</v>
      </c>
      <c r="AF61" s="19" t="s">
        <v>95</v>
      </c>
      <c r="AG61" s="230" t="s">
        <v>96</v>
      </c>
      <c r="AH61" s="220" t="s">
        <v>97</v>
      </c>
      <c r="AI61" s="19" t="s">
        <v>95</v>
      </c>
      <c r="AJ61" s="230" t="s">
        <v>96</v>
      </c>
      <c r="AK61" s="220" t="s">
        <v>97</v>
      </c>
    </row>
    <row r="62" spans="1:37" x14ac:dyDescent="0.25">
      <c r="A62" s="15" t="s">
        <v>77</v>
      </c>
      <c r="B62" s="312"/>
      <c r="C62" s="305"/>
      <c r="D62" s="215">
        <f>B62*C62</f>
        <v>0</v>
      </c>
      <c r="E62" s="312"/>
      <c r="F62" s="305"/>
      <c r="G62" s="215">
        <f t="shared" ref="G62:G73" si="76">E62*F62</f>
        <v>0</v>
      </c>
      <c r="H62" s="312"/>
      <c r="I62" s="305"/>
      <c r="J62" s="215">
        <f t="shared" ref="J62:J73" si="77">H62*I62</f>
        <v>0</v>
      </c>
      <c r="K62" s="312"/>
      <c r="L62" s="305"/>
      <c r="M62" s="215">
        <f t="shared" ref="M62:M73" si="78">K62*L62</f>
        <v>0</v>
      </c>
      <c r="N62" s="312"/>
      <c r="O62" s="305"/>
      <c r="P62" s="215">
        <f t="shared" ref="P62:P73" si="79">N62*O62</f>
        <v>0</v>
      </c>
      <c r="Q62" s="312"/>
      <c r="R62" s="305"/>
      <c r="S62" s="215">
        <f t="shared" ref="S62:S73" si="80">Q62*R62</f>
        <v>0</v>
      </c>
      <c r="T62" s="312"/>
      <c r="U62" s="305"/>
      <c r="V62" s="215">
        <f t="shared" ref="V62:V73" si="81">T62*U62</f>
        <v>0</v>
      </c>
      <c r="W62" s="312"/>
      <c r="X62" s="305"/>
      <c r="Y62" s="215">
        <f t="shared" ref="Y62:Y73" si="82">W62*X62</f>
        <v>0</v>
      </c>
      <c r="Z62" s="312"/>
      <c r="AA62" s="305"/>
      <c r="AB62" s="215">
        <f t="shared" ref="AB62:AB73" si="83">Z62*AA62</f>
        <v>0</v>
      </c>
      <c r="AC62" s="312"/>
      <c r="AD62" s="305"/>
      <c r="AE62" s="215">
        <f t="shared" ref="AE62:AE73" si="84">AC62*AD62</f>
        <v>0</v>
      </c>
      <c r="AF62" s="312"/>
      <c r="AG62" s="305"/>
      <c r="AH62" s="215">
        <f t="shared" ref="AH62:AH73" si="85">AF62*AG62</f>
        <v>0</v>
      </c>
      <c r="AI62" s="312"/>
      <c r="AJ62" s="305"/>
      <c r="AK62" s="215">
        <f t="shared" ref="AK62:AK73" si="86">AI62*AJ62</f>
        <v>0</v>
      </c>
    </row>
    <row r="63" spans="1:37" x14ac:dyDescent="0.25">
      <c r="A63" s="15" t="s">
        <v>78</v>
      </c>
      <c r="B63" s="312"/>
      <c r="C63" s="305"/>
      <c r="D63" s="215">
        <f t="shared" ref="D63:D73" si="87">B63*C63</f>
        <v>0</v>
      </c>
      <c r="E63" s="312"/>
      <c r="F63" s="305"/>
      <c r="G63" s="215">
        <f t="shared" si="76"/>
        <v>0</v>
      </c>
      <c r="H63" s="312"/>
      <c r="I63" s="305"/>
      <c r="J63" s="215">
        <f t="shared" si="77"/>
        <v>0</v>
      </c>
      <c r="K63" s="312"/>
      <c r="L63" s="305"/>
      <c r="M63" s="215">
        <f t="shared" si="78"/>
        <v>0</v>
      </c>
      <c r="N63" s="312"/>
      <c r="O63" s="305"/>
      <c r="P63" s="215">
        <f t="shared" si="79"/>
        <v>0</v>
      </c>
      <c r="Q63" s="312"/>
      <c r="R63" s="305"/>
      <c r="S63" s="215">
        <f t="shared" si="80"/>
        <v>0</v>
      </c>
      <c r="T63" s="312"/>
      <c r="U63" s="305"/>
      <c r="V63" s="215">
        <f t="shared" si="81"/>
        <v>0</v>
      </c>
      <c r="W63" s="312"/>
      <c r="X63" s="305"/>
      <c r="Y63" s="215">
        <f t="shared" si="82"/>
        <v>0</v>
      </c>
      <c r="Z63" s="312"/>
      <c r="AA63" s="305"/>
      <c r="AB63" s="215">
        <f t="shared" si="83"/>
        <v>0</v>
      </c>
      <c r="AC63" s="312"/>
      <c r="AD63" s="305"/>
      <c r="AE63" s="215">
        <f t="shared" si="84"/>
        <v>0</v>
      </c>
      <c r="AF63" s="312"/>
      <c r="AG63" s="305"/>
      <c r="AH63" s="215">
        <f t="shared" si="85"/>
        <v>0</v>
      </c>
      <c r="AI63" s="312"/>
      <c r="AJ63" s="305"/>
      <c r="AK63" s="215">
        <f t="shared" si="86"/>
        <v>0</v>
      </c>
    </row>
    <row r="64" spans="1:37" x14ac:dyDescent="0.25">
      <c r="A64" s="15" t="s">
        <v>259</v>
      </c>
      <c r="B64" s="312"/>
      <c r="C64" s="305"/>
      <c r="D64" s="215">
        <f t="shared" si="87"/>
        <v>0</v>
      </c>
      <c r="E64" s="312"/>
      <c r="F64" s="305"/>
      <c r="G64" s="215">
        <f t="shared" si="76"/>
        <v>0</v>
      </c>
      <c r="H64" s="312"/>
      <c r="I64" s="305"/>
      <c r="J64" s="215">
        <f t="shared" si="77"/>
        <v>0</v>
      </c>
      <c r="K64" s="312"/>
      <c r="L64" s="305"/>
      <c r="M64" s="215">
        <f t="shared" si="78"/>
        <v>0</v>
      </c>
      <c r="N64" s="312"/>
      <c r="O64" s="305"/>
      <c r="P64" s="215">
        <f t="shared" si="79"/>
        <v>0</v>
      </c>
      <c r="Q64" s="312"/>
      <c r="R64" s="305"/>
      <c r="S64" s="215">
        <f t="shared" si="80"/>
        <v>0</v>
      </c>
      <c r="T64" s="312"/>
      <c r="U64" s="305"/>
      <c r="V64" s="215">
        <f t="shared" si="81"/>
        <v>0</v>
      </c>
      <c r="W64" s="312"/>
      <c r="X64" s="305"/>
      <c r="Y64" s="215">
        <f t="shared" si="82"/>
        <v>0</v>
      </c>
      <c r="Z64" s="312"/>
      <c r="AA64" s="305"/>
      <c r="AB64" s="215">
        <f t="shared" si="83"/>
        <v>0</v>
      </c>
      <c r="AC64" s="312"/>
      <c r="AD64" s="305"/>
      <c r="AE64" s="215">
        <f t="shared" si="84"/>
        <v>0</v>
      </c>
      <c r="AF64" s="312"/>
      <c r="AG64" s="305"/>
      <c r="AH64" s="215">
        <f t="shared" si="85"/>
        <v>0</v>
      </c>
      <c r="AI64" s="312"/>
      <c r="AJ64" s="305"/>
      <c r="AK64" s="215">
        <f t="shared" si="86"/>
        <v>0</v>
      </c>
    </row>
    <row r="65" spans="1:37" x14ac:dyDescent="0.25">
      <c r="A65" s="15" t="s">
        <v>79</v>
      </c>
      <c r="B65" s="312"/>
      <c r="C65" s="305"/>
      <c r="D65" s="215">
        <f t="shared" si="87"/>
        <v>0</v>
      </c>
      <c r="E65" s="312"/>
      <c r="F65" s="305"/>
      <c r="G65" s="215">
        <f t="shared" si="76"/>
        <v>0</v>
      </c>
      <c r="H65" s="312"/>
      <c r="I65" s="305"/>
      <c r="J65" s="215">
        <f t="shared" si="77"/>
        <v>0</v>
      </c>
      <c r="K65" s="312"/>
      <c r="L65" s="305"/>
      <c r="M65" s="215">
        <f t="shared" si="78"/>
        <v>0</v>
      </c>
      <c r="N65" s="312">
        <v>30</v>
      </c>
      <c r="O65" s="305">
        <v>1.5</v>
      </c>
      <c r="P65" s="215">
        <f t="shared" si="79"/>
        <v>45</v>
      </c>
      <c r="Q65" s="312"/>
      <c r="R65" s="305"/>
      <c r="S65" s="215">
        <f t="shared" si="80"/>
        <v>0</v>
      </c>
      <c r="T65" s="312"/>
      <c r="U65" s="305"/>
      <c r="V65" s="215">
        <f t="shared" si="81"/>
        <v>0</v>
      </c>
      <c r="W65" s="312"/>
      <c r="X65" s="305"/>
      <c r="Y65" s="215">
        <f t="shared" si="82"/>
        <v>0</v>
      </c>
      <c r="Z65" s="312"/>
      <c r="AA65" s="305"/>
      <c r="AB65" s="215">
        <f t="shared" si="83"/>
        <v>0</v>
      </c>
      <c r="AC65" s="312"/>
      <c r="AD65" s="305"/>
      <c r="AE65" s="215">
        <f t="shared" si="84"/>
        <v>0</v>
      </c>
      <c r="AF65" s="312">
        <v>30</v>
      </c>
      <c r="AG65" s="305">
        <v>1.5</v>
      </c>
      <c r="AH65" s="215">
        <f t="shared" si="85"/>
        <v>45</v>
      </c>
      <c r="AI65" s="312"/>
      <c r="AJ65" s="305"/>
      <c r="AK65" s="215">
        <f t="shared" si="86"/>
        <v>0</v>
      </c>
    </row>
    <row r="66" spans="1:37" x14ac:dyDescent="0.25">
      <c r="A66" s="15" t="s">
        <v>80</v>
      </c>
      <c r="B66" s="312"/>
      <c r="C66" s="305"/>
      <c r="D66" s="215">
        <f t="shared" si="87"/>
        <v>0</v>
      </c>
      <c r="E66" s="312"/>
      <c r="F66" s="305"/>
      <c r="G66" s="215">
        <f t="shared" si="76"/>
        <v>0</v>
      </c>
      <c r="H66" s="312"/>
      <c r="I66" s="305"/>
      <c r="J66" s="215">
        <f t="shared" si="77"/>
        <v>0</v>
      </c>
      <c r="K66" s="312"/>
      <c r="L66" s="305"/>
      <c r="M66" s="215">
        <f t="shared" si="78"/>
        <v>0</v>
      </c>
      <c r="N66" s="312"/>
      <c r="O66" s="305"/>
      <c r="P66" s="215">
        <f t="shared" si="79"/>
        <v>0</v>
      </c>
      <c r="Q66" s="312"/>
      <c r="R66" s="305"/>
      <c r="S66" s="215">
        <f t="shared" si="80"/>
        <v>0</v>
      </c>
      <c r="T66" s="312"/>
      <c r="U66" s="305"/>
      <c r="V66" s="215">
        <f t="shared" si="81"/>
        <v>0</v>
      </c>
      <c r="W66" s="312"/>
      <c r="X66" s="305"/>
      <c r="Y66" s="215">
        <f t="shared" si="82"/>
        <v>0</v>
      </c>
      <c r="Z66" s="312"/>
      <c r="AA66" s="305"/>
      <c r="AB66" s="215">
        <f t="shared" si="83"/>
        <v>0</v>
      </c>
      <c r="AC66" s="312"/>
      <c r="AD66" s="305"/>
      <c r="AE66" s="215">
        <f t="shared" si="84"/>
        <v>0</v>
      </c>
      <c r="AF66" s="312"/>
      <c r="AG66" s="305"/>
      <c r="AH66" s="215">
        <f t="shared" si="85"/>
        <v>0</v>
      </c>
      <c r="AI66" s="312"/>
      <c r="AJ66" s="305"/>
      <c r="AK66" s="215">
        <f t="shared" si="86"/>
        <v>0</v>
      </c>
    </row>
    <row r="67" spans="1:37" x14ac:dyDescent="0.25">
      <c r="A67" s="15" t="s">
        <v>81</v>
      </c>
      <c r="B67" s="313"/>
      <c r="C67" s="314"/>
      <c r="D67" s="215">
        <f t="shared" si="87"/>
        <v>0</v>
      </c>
      <c r="E67" s="313"/>
      <c r="F67" s="314"/>
      <c r="G67" s="215">
        <f t="shared" si="76"/>
        <v>0</v>
      </c>
      <c r="H67" s="313"/>
      <c r="I67" s="314"/>
      <c r="J67" s="215">
        <f t="shared" si="77"/>
        <v>0</v>
      </c>
      <c r="K67" s="313"/>
      <c r="L67" s="314"/>
      <c r="M67" s="215">
        <f t="shared" si="78"/>
        <v>0</v>
      </c>
      <c r="N67" s="313"/>
      <c r="O67" s="314"/>
      <c r="P67" s="215">
        <f t="shared" si="79"/>
        <v>0</v>
      </c>
      <c r="Q67" s="313"/>
      <c r="R67" s="314"/>
      <c r="S67" s="215">
        <f t="shared" si="80"/>
        <v>0</v>
      </c>
      <c r="T67" s="313"/>
      <c r="U67" s="314"/>
      <c r="V67" s="215">
        <f t="shared" si="81"/>
        <v>0</v>
      </c>
      <c r="W67" s="313"/>
      <c r="X67" s="314"/>
      <c r="Y67" s="215">
        <f t="shared" si="82"/>
        <v>0</v>
      </c>
      <c r="Z67" s="313"/>
      <c r="AA67" s="314"/>
      <c r="AB67" s="215">
        <f t="shared" si="83"/>
        <v>0</v>
      </c>
      <c r="AC67" s="313"/>
      <c r="AD67" s="314"/>
      <c r="AE67" s="215">
        <f t="shared" si="84"/>
        <v>0</v>
      </c>
      <c r="AF67" s="313"/>
      <c r="AG67" s="314"/>
      <c r="AH67" s="215">
        <f t="shared" si="85"/>
        <v>0</v>
      </c>
      <c r="AI67" s="313"/>
      <c r="AJ67" s="314"/>
      <c r="AK67" s="215">
        <f t="shared" si="86"/>
        <v>0</v>
      </c>
    </row>
    <row r="68" spans="1:37" x14ac:dyDescent="0.25">
      <c r="A68" s="15" t="s">
        <v>82</v>
      </c>
      <c r="B68" s="312"/>
      <c r="C68" s="305"/>
      <c r="D68" s="215">
        <f t="shared" si="87"/>
        <v>0</v>
      </c>
      <c r="E68" s="312"/>
      <c r="F68" s="305"/>
      <c r="G68" s="215">
        <f t="shared" si="76"/>
        <v>0</v>
      </c>
      <c r="H68" s="312"/>
      <c r="I68" s="305"/>
      <c r="J68" s="215">
        <f t="shared" si="77"/>
        <v>0</v>
      </c>
      <c r="K68" s="312"/>
      <c r="L68" s="305"/>
      <c r="M68" s="215">
        <f t="shared" si="78"/>
        <v>0</v>
      </c>
      <c r="N68" s="312"/>
      <c r="O68" s="305"/>
      <c r="P68" s="215">
        <f t="shared" si="79"/>
        <v>0</v>
      </c>
      <c r="Q68" s="312"/>
      <c r="R68" s="305"/>
      <c r="S68" s="215">
        <f t="shared" si="80"/>
        <v>0</v>
      </c>
      <c r="T68" s="312"/>
      <c r="U68" s="305"/>
      <c r="V68" s="215">
        <f t="shared" si="81"/>
        <v>0</v>
      </c>
      <c r="W68" s="312"/>
      <c r="X68" s="305"/>
      <c r="Y68" s="215">
        <f t="shared" si="82"/>
        <v>0</v>
      </c>
      <c r="Z68" s="312"/>
      <c r="AA68" s="305"/>
      <c r="AB68" s="215">
        <f t="shared" si="83"/>
        <v>0</v>
      </c>
      <c r="AC68" s="312"/>
      <c r="AD68" s="305"/>
      <c r="AE68" s="215">
        <f t="shared" si="84"/>
        <v>0</v>
      </c>
      <c r="AF68" s="312"/>
      <c r="AG68" s="305"/>
      <c r="AH68" s="215">
        <f t="shared" si="85"/>
        <v>0</v>
      </c>
      <c r="AI68" s="312"/>
      <c r="AJ68" s="305"/>
      <c r="AK68" s="215">
        <f t="shared" si="86"/>
        <v>0</v>
      </c>
    </row>
    <row r="69" spans="1:37" x14ac:dyDescent="0.25">
      <c r="A69" s="15" t="s">
        <v>349</v>
      </c>
      <c r="B69" s="312"/>
      <c r="C69" s="305"/>
      <c r="D69" s="215">
        <f t="shared" si="87"/>
        <v>0</v>
      </c>
      <c r="E69" s="312"/>
      <c r="F69" s="305"/>
      <c r="G69" s="215">
        <f t="shared" si="76"/>
        <v>0</v>
      </c>
      <c r="H69" s="312"/>
      <c r="I69" s="305"/>
      <c r="J69" s="215">
        <f t="shared" si="77"/>
        <v>0</v>
      </c>
      <c r="K69" s="312"/>
      <c r="L69" s="305"/>
      <c r="M69" s="215">
        <f t="shared" si="78"/>
        <v>0</v>
      </c>
      <c r="N69" s="312"/>
      <c r="O69" s="305"/>
      <c r="P69" s="215">
        <f t="shared" si="79"/>
        <v>0</v>
      </c>
      <c r="Q69" s="312"/>
      <c r="R69" s="305"/>
      <c r="S69" s="215">
        <f t="shared" si="80"/>
        <v>0</v>
      </c>
      <c r="T69" s="312">
        <v>2</v>
      </c>
      <c r="U69" s="305">
        <v>35.924999999999997</v>
      </c>
      <c r="V69" s="215">
        <f t="shared" si="81"/>
        <v>71.849999999999994</v>
      </c>
      <c r="W69" s="312"/>
      <c r="X69" s="305">
        <v>76</v>
      </c>
      <c r="Y69" s="215">
        <f t="shared" si="82"/>
        <v>0</v>
      </c>
      <c r="Z69" s="312">
        <v>1</v>
      </c>
      <c r="AA69" s="305">
        <v>80</v>
      </c>
      <c r="AB69" s="215">
        <f t="shared" si="83"/>
        <v>80</v>
      </c>
      <c r="AC69" s="312"/>
      <c r="AD69" s="305"/>
      <c r="AE69" s="215">
        <f t="shared" si="84"/>
        <v>0</v>
      </c>
      <c r="AF69" s="312"/>
      <c r="AG69" s="305"/>
      <c r="AH69" s="215">
        <f t="shared" si="85"/>
        <v>0</v>
      </c>
      <c r="AI69" s="312"/>
      <c r="AJ69" s="305"/>
      <c r="AK69" s="215">
        <f t="shared" si="86"/>
        <v>0</v>
      </c>
    </row>
    <row r="70" spans="1:37" x14ac:dyDescent="0.25">
      <c r="A70" s="15" t="s">
        <v>83</v>
      </c>
      <c r="B70" s="312"/>
      <c r="C70" s="305"/>
      <c r="D70" s="215">
        <f t="shared" si="87"/>
        <v>0</v>
      </c>
      <c r="E70" s="312"/>
      <c r="F70" s="305"/>
      <c r="G70" s="215">
        <f t="shared" si="76"/>
        <v>0</v>
      </c>
      <c r="H70" s="312"/>
      <c r="I70" s="305"/>
      <c r="J70" s="215">
        <f t="shared" si="77"/>
        <v>0</v>
      </c>
      <c r="K70" s="312"/>
      <c r="L70" s="305"/>
      <c r="M70" s="215">
        <f t="shared" si="78"/>
        <v>0</v>
      </c>
      <c r="N70" s="312">
        <v>2</v>
      </c>
      <c r="O70" s="305">
        <v>13</v>
      </c>
      <c r="P70" s="215">
        <f t="shared" si="79"/>
        <v>26</v>
      </c>
      <c r="Q70" s="312"/>
      <c r="R70" s="305"/>
      <c r="S70" s="215">
        <f t="shared" si="80"/>
        <v>0</v>
      </c>
      <c r="T70" s="312"/>
      <c r="U70" s="305"/>
      <c r="V70" s="215">
        <f t="shared" si="81"/>
        <v>0</v>
      </c>
      <c r="W70" s="312"/>
      <c r="X70" s="305"/>
      <c r="Y70" s="215">
        <f t="shared" si="82"/>
        <v>0</v>
      </c>
      <c r="Z70" s="312"/>
      <c r="AA70" s="305"/>
      <c r="AB70" s="215">
        <f t="shared" si="83"/>
        <v>0</v>
      </c>
      <c r="AC70" s="312">
        <v>2</v>
      </c>
      <c r="AD70" s="305">
        <v>20</v>
      </c>
      <c r="AE70" s="215">
        <f t="shared" si="84"/>
        <v>40</v>
      </c>
      <c r="AF70" s="312"/>
      <c r="AG70" s="305"/>
      <c r="AH70" s="215">
        <f t="shared" si="85"/>
        <v>0</v>
      </c>
      <c r="AI70" s="312"/>
      <c r="AJ70" s="305"/>
      <c r="AK70" s="215">
        <f t="shared" si="86"/>
        <v>0</v>
      </c>
    </row>
    <row r="71" spans="1:37" x14ac:dyDescent="0.25">
      <c r="A71" s="15" t="s">
        <v>84</v>
      </c>
      <c r="B71" s="312"/>
      <c r="C71" s="305"/>
      <c r="D71" s="215">
        <f t="shared" si="87"/>
        <v>0</v>
      </c>
      <c r="E71" s="312"/>
      <c r="F71" s="305"/>
      <c r="G71" s="215">
        <f t="shared" si="76"/>
        <v>0</v>
      </c>
      <c r="H71" s="312">
        <v>1</v>
      </c>
      <c r="I71" s="305">
        <v>37</v>
      </c>
      <c r="J71" s="215">
        <f t="shared" si="77"/>
        <v>37</v>
      </c>
      <c r="K71" s="312"/>
      <c r="L71" s="305"/>
      <c r="M71" s="215">
        <f t="shared" si="78"/>
        <v>0</v>
      </c>
      <c r="N71" s="312"/>
      <c r="O71" s="305"/>
      <c r="P71" s="215">
        <f t="shared" si="79"/>
        <v>0</v>
      </c>
      <c r="Q71" s="312"/>
      <c r="R71" s="305"/>
      <c r="S71" s="215">
        <f t="shared" si="80"/>
        <v>0</v>
      </c>
      <c r="T71" s="312"/>
      <c r="U71" s="305"/>
      <c r="V71" s="215">
        <f t="shared" si="81"/>
        <v>0</v>
      </c>
      <c r="W71" s="312"/>
      <c r="X71" s="305"/>
      <c r="Y71" s="215">
        <f t="shared" si="82"/>
        <v>0</v>
      </c>
      <c r="Z71" s="312"/>
      <c r="AA71" s="305"/>
      <c r="AB71" s="215">
        <f t="shared" si="83"/>
        <v>0</v>
      </c>
      <c r="AC71" s="312"/>
      <c r="AD71" s="305"/>
      <c r="AE71" s="215">
        <f t="shared" si="84"/>
        <v>0</v>
      </c>
      <c r="AF71" s="312"/>
      <c r="AG71" s="305"/>
      <c r="AH71" s="215">
        <f t="shared" si="85"/>
        <v>0</v>
      </c>
      <c r="AI71" s="312"/>
      <c r="AJ71" s="305"/>
      <c r="AK71" s="215">
        <f t="shared" si="86"/>
        <v>0</v>
      </c>
    </row>
    <row r="72" spans="1:37" x14ac:dyDescent="0.25">
      <c r="A72" s="15" t="s">
        <v>350</v>
      </c>
      <c r="B72" s="312">
        <v>2</v>
      </c>
      <c r="C72" s="305">
        <v>75</v>
      </c>
      <c r="D72" s="215">
        <f t="shared" si="87"/>
        <v>150</v>
      </c>
      <c r="E72" s="312">
        <v>1</v>
      </c>
      <c r="F72" s="305">
        <v>60</v>
      </c>
      <c r="G72" s="215">
        <f t="shared" si="76"/>
        <v>60</v>
      </c>
      <c r="H72" s="312"/>
      <c r="I72" s="305"/>
      <c r="J72" s="215">
        <f t="shared" si="77"/>
        <v>0</v>
      </c>
      <c r="K72" s="312"/>
      <c r="L72" s="305"/>
      <c r="M72" s="215">
        <f t="shared" si="78"/>
        <v>0</v>
      </c>
      <c r="N72" s="312"/>
      <c r="O72" s="305"/>
      <c r="P72" s="215">
        <f t="shared" si="79"/>
        <v>0</v>
      </c>
      <c r="Q72" s="312"/>
      <c r="R72" s="305"/>
      <c r="S72" s="215">
        <f t="shared" si="80"/>
        <v>0</v>
      </c>
      <c r="T72" s="312"/>
      <c r="U72" s="305"/>
      <c r="V72" s="215">
        <f t="shared" si="81"/>
        <v>0</v>
      </c>
      <c r="W72" s="312"/>
      <c r="X72" s="305"/>
      <c r="Y72" s="215">
        <f t="shared" si="82"/>
        <v>0</v>
      </c>
      <c r="Z72" s="312"/>
      <c r="AA72" s="305"/>
      <c r="AB72" s="215">
        <f t="shared" si="83"/>
        <v>0</v>
      </c>
      <c r="AC72" s="312"/>
      <c r="AD72" s="305"/>
      <c r="AE72" s="215">
        <f t="shared" si="84"/>
        <v>0</v>
      </c>
      <c r="AF72" s="312"/>
      <c r="AG72" s="305"/>
      <c r="AH72" s="215">
        <f t="shared" si="85"/>
        <v>0</v>
      </c>
      <c r="AI72" s="312"/>
      <c r="AJ72" s="305"/>
      <c r="AK72" s="215">
        <f t="shared" si="86"/>
        <v>0</v>
      </c>
    </row>
    <row r="73" spans="1:37" x14ac:dyDescent="0.25">
      <c r="A73" s="15" t="s">
        <v>260</v>
      </c>
      <c r="B73" s="312"/>
      <c r="C73" s="305"/>
      <c r="D73" s="215">
        <f t="shared" si="87"/>
        <v>0</v>
      </c>
      <c r="E73" s="312"/>
      <c r="F73" s="305"/>
      <c r="G73" s="215">
        <f t="shared" si="76"/>
        <v>0</v>
      </c>
      <c r="H73" s="312"/>
      <c r="I73" s="305"/>
      <c r="J73" s="215">
        <f t="shared" si="77"/>
        <v>0</v>
      </c>
      <c r="K73" s="312"/>
      <c r="L73" s="305"/>
      <c r="M73" s="215">
        <f t="shared" si="78"/>
        <v>0</v>
      </c>
      <c r="N73" s="312"/>
      <c r="O73" s="305"/>
      <c r="P73" s="215">
        <f t="shared" si="79"/>
        <v>0</v>
      </c>
      <c r="Q73" s="312"/>
      <c r="R73" s="305"/>
      <c r="S73" s="215">
        <f t="shared" si="80"/>
        <v>0</v>
      </c>
      <c r="T73" s="312"/>
      <c r="U73" s="305"/>
      <c r="V73" s="215">
        <f t="shared" si="81"/>
        <v>0</v>
      </c>
      <c r="W73" s="312"/>
      <c r="X73" s="305"/>
      <c r="Y73" s="215">
        <f t="shared" si="82"/>
        <v>0</v>
      </c>
      <c r="Z73" s="312"/>
      <c r="AA73" s="305"/>
      <c r="AB73" s="215">
        <f t="shared" si="83"/>
        <v>0</v>
      </c>
      <c r="AC73" s="312"/>
      <c r="AD73" s="305"/>
      <c r="AE73" s="215">
        <f t="shared" si="84"/>
        <v>0</v>
      </c>
      <c r="AF73" s="312"/>
      <c r="AG73" s="305"/>
      <c r="AH73" s="215">
        <f t="shared" si="85"/>
        <v>0</v>
      </c>
      <c r="AI73" s="312"/>
      <c r="AJ73" s="305"/>
      <c r="AK73" s="215">
        <f t="shared" si="86"/>
        <v>0</v>
      </c>
    </row>
    <row r="74" spans="1:37" ht="15.75" thickBot="1" x14ac:dyDescent="0.3">
      <c r="A74" s="347" t="s">
        <v>336</v>
      </c>
      <c r="B74" s="348"/>
      <c r="C74" s="349"/>
      <c r="D74" s="350">
        <f>SUM(D62:D73)</f>
        <v>150</v>
      </c>
      <c r="E74" s="348"/>
      <c r="F74" s="349"/>
      <c r="G74" s="350">
        <f>SUM(G62:G73)</f>
        <v>60</v>
      </c>
      <c r="H74" s="348"/>
      <c r="I74" s="349"/>
      <c r="J74" s="350">
        <f>SUM(J62:J73)</f>
        <v>37</v>
      </c>
      <c r="K74" s="348"/>
      <c r="L74" s="349"/>
      <c r="M74" s="350">
        <f>SUM(M62:M73)</f>
        <v>0</v>
      </c>
      <c r="N74" s="348"/>
      <c r="O74" s="349"/>
      <c r="P74" s="350">
        <f>SUM(P62:P73)</f>
        <v>71</v>
      </c>
      <c r="Q74" s="348"/>
      <c r="R74" s="349"/>
      <c r="S74" s="350">
        <f>SUM(S62:S73)</f>
        <v>0</v>
      </c>
      <c r="T74" s="348"/>
      <c r="U74" s="349"/>
      <c r="V74" s="350">
        <f>SUM(V62:V73)</f>
        <v>71.849999999999994</v>
      </c>
      <c r="W74" s="348"/>
      <c r="X74" s="349"/>
      <c r="Y74" s="350">
        <f>SUM(Y62:Y73)</f>
        <v>0</v>
      </c>
      <c r="Z74" s="348"/>
      <c r="AA74" s="349"/>
      <c r="AB74" s="350">
        <f>SUM(AB62:AB73)</f>
        <v>80</v>
      </c>
      <c r="AC74" s="348"/>
      <c r="AD74" s="349"/>
      <c r="AE74" s="350">
        <f>SUM(AE62:AE73)</f>
        <v>40</v>
      </c>
      <c r="AF74" s="348"/>
      <c r="AG74" s="349"/>
      <c r="AH74" s="350">
        <f>SUM(AH62:AH73)</f>
        <v>45</v>
      </c>
      <c r="AI74" s="348"/>
      <c r="AJ74" s="349"/>
      <c r="AK74" s="350">
        <f>SUM(AK62:AK73)</f>
        <v>0</v>
      </c>
    </row>
    <row r="75" spans="1:37" x14ac:dyDescent="0.25">
      <c r="A75" s="18" t="s">
        <v>85</v>
      </c>
      <c r="B75" s="19" t="s">
        <v>95</v>
      </c>
      <c r="C75" s="230" t="s">
        <v>96</v>
      </c>
      <c r="D75" s="220" t="s">
        <v>97</v>
      </c>
      <c r="E75" s="19" t="s">
        <v>95</v>
      </c>
      <c r="F75" s="230" t="s">
        <v>96</v>
      </c>
      <c r="G75" s="220" t="s">
        <v>97</v>
      </c>
      <c r="H75" s="19" t="s">
        <v>95</v>
      </c>
      <c r="I75" s="230" t="s">
        <v>96</v>
      </c>
      <c r="J75" s="220" t="s">
        <v>97</v>
      </c>
      <c r="K75" s="19" t="s">
        <v>95</v>
      </c>
      <c r="L75" s="230" t="s">
        <v>96</v>
      </c>
      <c r="M75" s="220" t="s">
        <v>97</v>
      </c>
      <c r="N75" s="19" t="s">
        <v>95</v>
      </c>
      <c r="O75" s="230" t="s">
        <v>96</v>
      </c>
      <c r="P75" s="220" t="s">
        <v>97</v>
      </c>
      <c r="Q75" s="19" t="s">
        <v>95</v>
      </c>
      <c r="R75" s="230" t="s">
        <v>96</v>
      </c>
      <c r="S75" s="220" t="s">
        <v>97</v>
      </c>
      <c r="T75" s="19" t="s">
        <v>95</v>
      </c>
      <c r="U75" s="230" t="s">
        <v>96</v>
      </c>
      <c r="V75" s="220" t="s">
        <v>97</v>
      </c>
      <c r="W75" s="19" t="s">
        <v>95</v>
      </c>
      <c r="X75" s="230" t="s">
        <v>96</v>
      </c>
      <c r="Y75" s="220" t="s">
        <v>97</v>
      </c>
      <c r="Z75" s="19" t="s">
        <v>95</v>
      </c>
      <c r="AA75" s="230" t="s">
        <v>96</v>
      </c>
      <c r="AB75" s="220" t="s">
        <v>97</v>
      </c>
      <c r="AC75" s="19" t="s">
        <v>95</v>
      </c>
      <c r="AD75" s="230" t="s">
        <v>96</v>
      </c>
      <c r="AE75" s="220" t="s">
        <v>97</v>
      </c>
      <c r="AF75" s="19" t="s">
        <v>95</v>
      </c>
      <c r="AG75" s="230" t="s">
        <v>96</v>
      </c>
      <c r="AH75" s="220" t="s">
        <v>97</v>
      </c>
      <c r="AI75" s="19" t="s">
        <v>95</v>
      </c>
      <c r="AJ75" s="230" t="s">
        <v>96</v>
      </c>
      <c r="AK75" s="220" t="s">
        <v>97</v>
      </c>
    </row>
    <row r="76" spans="1:37" x14ac:dyDescent="0.25">
      <c r="A76" s="4" t="s">
        <v>86</v>
      </c>
      <c r="B76" s="312"/>
      <c r="C76" s="305"/>
      <c r="D76" s="215">
        <f>B76*C76</f>
        <v>0</v>
      </c>
      <c r="E76" s="312"/>
      <c r="F76" s="305"/>
      <c r="G76" s="215">
        <f t="shared" ref="G76:G79" si="88">E76*F76</f>
        <v>0</v>
      </c>
      <c r="H76" s="312"/>
      <c r="I76" s="305"/>
      <c r="J76" s="215">
        <f t="shared" ref="J76:J79" si="89">H76*I76</f>
        <v>0</v>
      </c>
      <c r="K76" s="312">
        <v>10</v>
      </c>
      <c r="L76" s="305">
        <v>12.2</v>
      </c>
      <c r="M76" s="215">
        <f t="shared" ref="M76:M79" si="90">K76*L76</f>
        <v>122</v>
      </c>
      <c r="N76" s="312"/>
      <c r="O76" s="305"/>
      <c r="P76" s="215">
        <f t="shared" ref="P76:P79" si="91">N76*O76</f>
        <v>0</v>
      </c>
      <c r="Q76" s="312"/>
      <c r="R76" s="305"/>
      <c r="S76" s="215">
        <f t="shared" ref="S76:S79" si="92">Q76*R76</f>
        <v>0</v>
      </c>
      <c r="T76" s="312"/>
      <c r="U76" s="305"/>
      <c r="V76" s="215">
        <f t="shared" ref="V76:V79" si="93">T76*U76</f>
        <v>0</v>
      </c>
      <c r="W76" s="312"/>
      <c r="X76" s="305"/>
      <c r="Y76" s="215">
        <f t="shared" ref="Y76:Y79" si="94">W76*X76</f>
        <v>0</v>
      </c>
      <c r="Z76" s="312"/>
      <c r="AA76" s="305"/>
      <c r="AB76" s="215">
        <f t="shared" ref="AB76:AB79" si="95">Z76*AA76</f>
        <v>0</v>
      </c>
      <c r="AC76" s="312"/>
      <c r="AD76" s="305"/>
      <c r="AE76" s="215">
        <f t="shared" ref="AE76:AE79" si="96">AC76*AD76</f>
        <v>0</v>
      </c>
      <c r="AF76" s="312"/>
      <c r="AG76" s="305"/>
      <c r="AH76" s="215">
        <f t="shared" ref="AH76:AH79" si="97">AF76*AG76</f>
        <v>0</v>
      </c>
      <c r="AI76" s="312"/>
      <c r="AJ76" s="305"/>
      <c r="AK76" s="215">
        <f t="shared" ref="AK76:AK79" si="98">AI76*AJ76</f>
        <v>0</v>
      </c>
    </row>
    <row r="77" spans="1:37" x14ac:dyDescent="0.25">
      <c r="A77" s="4" t="s">
        <v>87</v>
      </c>
      <c r="B77" s="312"/>
      <c r="C77" s="305"/>
      <c r="D77" s="215">
        <f t="shared" ref="D77:D79" si="99">B77*C77</f>
        <v>0</v>
      </c>
      <c r="E77" s="312"/>
      <c r="F77" s="305"/>
      <c r="G77" s="215">
        <f t="shared" si="88"/>
        <v>0</v>
      </c>
      <c r="H77" s="312"/>
      <c r="I77" s="305"/>
      <c r="J77" s="215">
        <f t="shared" si="89"/>
        <v>0</v>
      </c>
      <c r="K77" s="312"/>
      <c r="L77" s="305"/>
      <c r="M77" s="215">
        <f t="shared" si="90"/>
        <v>0</v>
      </c>
      <c r="N77" s="312"/>
      <c r="O77" s="305"/>
      <c r="P77" s="215">
        <f t="shared" si="91"/>
        <v>0</v>
      </c>
      <c r="Q77" s="312"/>
      <c r="R77" s="305"/>
      <c r="S77" s="215">
        <f t="shared" si="92"/>
        <v>0</v>
      </c>
      <c r="T77" s="312"/>
      <c r="U77" s="305"/>
      <c r="V77" s="215">
        <f t="shared" si="93"/>
        <v>0</v>
      </c>
      <c r="W77" s="312"/>
      <c r="X77" s="305"/>
      <c r="Y77" s="215">
        <f t="shared" si="94"/>
        <v>0</v>
      </c>
      <c r="Z77" s="312"/>
      <c r="AA77" s="305"/>
      <c r="AB77" s="215">
        <f t="shared" si="95"/>
        <v>0</v>
      </c>
      <c r="AC77" s="312"/>
      <c r="AD77" s="305"/>
      <c r="AE77" s="215">
        <f t="shared" si="96"/>
        <v>0</v>
      </c>
      <c r="AF77" s="312"/>
      <c r="AG77" s="305"/>
      <c r="AH77" s="215">
        <f t="shared" si="97"/>
        <v>0</v>
      </c>
      <c r="AI77" s="312"/>
      <c r="AJ77" s="305"/>
      <c r="AK77" s="215">
        <f t="shared" si="98"/>
        <v>0</v>
      </c>
    </row>
    <row r="78" spans="1:37" x14ac:dyDescent="0.25">
      <c r="A78" s="4" t="s">
        <v>88</v>
      </c>
      <c r="B78" s="312"/>
      <c r="C78" s="305"/>
      <c r="D78" s="215">
        <f t="shared" si="99"/>
        <v>0</v>
      </c>
      <c r="E78" s="312"/>
      <c r="F78" s="305"/>
      <c r="G78" s="215">
        <f t="shared" si="88"/>
        <v>0</v>
      </c>
      <c r="H78" s="312"/>
      <c r="I78" s="305"/>
      <c r="J78" s="215">
        <f t="shared" si="89"/>
        <v>0</v>
      </c>
      <c r="K78" s="312"/>
      <c r="L78" s="305"/>
      <c r="M78" s="215">
        <f t="shared" si="90"/>
        <v>0</v>
      </c>
      <c r="N78" s="312"/>
      <c r="O78" s="305"/>
      <c r="P78" s="215">
        <f t="shared" si="91"/>
        <v>0</v>
      </c>
      <c r="Q78" s="312"/>
      <c r="R78" s="305"/>
      <c r="S78" s="215">
        <f t="shared" si="92"/>
        <v>0</v>
      </c>
      <c r="T78" s="312"/>
      <c r="U78" s="305"/>
      <c r="V78" s="215">
        <f t="shared" si="93"/>
        <v>0</v>
      </c>
      <c r="W78" s="312"/>
      <c r="X78" s="305"/>
      <c r="Y78" s="215">
        <f t="shared" si="94"/>
        <v>0</v>
      </c>
      <c r="Z78" s="312"/>
      <c r="AA78" s="305"/>
      <c r="AB78" s="215">
        <f t="shared" si="95"/>
        <v>0</v>
      </c>
      <c r="AC78" s="312"/>
      <c r="AD78" s="305"/>
      <c r="AE78" s="215">
        <f t="shared" si="96"/>
        <v>0</v>
      </c>
      <c r="AF78" s="312"/>
      <c r="AG78" s="305"/>
      <c r="AH78" s="215">
        <f t="shared" si="97"/>
        <v>0</v>
      </c>
      <c r="AI78" s="312"/>
      <c r="AJ78" s="305"/>
      <c r="AK78" s="215">
        <f t="shared" si="98"/>
        <v>0</v>
      </c>
    </row>
    <row r="79" spans="1:37" x14ac:dyDescent="0.25">
      <c r="A79" s="4" t="s">
        <v>89</v>
      </c>
      <c r="B79" s="312"/>
      <c r="C79" s="305"/>
      <c r="D79" s="215">
        <f t="shared" si="99"/>
        <v>0</v>
      </c>
      <c r="E79" s="312"/>
      <c r="F79" s="305"/>
      <c r="G79" s="215">
        <f t="shared" si="88"/>
        <v>0</v>
      </c>
      <c r="H79" s="312"/>
      <c r="I79" s="305"/>
      <c r="J79" s="215">
        <f t="shared" si="89"/>
        <v>0</v>
      </c>
      <c r="K79" s="312">
        <v>1</v>
      </c>
      <c r="L79" s="305">
        <v>33</v>
      </c>
      <c r="M79" s="215">
        <f t="shared" si="90"/>
        <v>33</v>
      </c>
      <c r="N79" s="312"/>
      <c r="O79" s="305"/>
      <c r="P79" s="215">
        <f t="shared" si="91"/>
        <v>0</v>
      </c>
      <c r="Q79" s="312">
        <v>4</v>
      </c>
      <c r="R79" s="305">
        <v>6</v>
      </c>
      <c r="S79" s="215">
        <f t="shared" si="92"/>
        <v>24</v>
      </c>
      <c r="T79" s="312"/>
      <c r="U79" s="305"/>
      <c r="V79" s="215">
        <f t="shared" si="93"/>
        <v>0</v>
      </c>
      <c r="W79" s="312"/>
      <c r="X79" s="305"/>
      <c r="Y79" s="215">
        <f t="shared" si="94"/>
        <v>0</v>
      </c>
      <c r="Z79" s="312"/>
      <c r="AA79" s="305"/>
      <c r="AB79" s="215">
        <f t="shared" si="95"/>
        <v>0</v>
      </c>
      <c r="AC79" s="312"/>
      <c r="AD79" s="305"/>
      <c r="AE79" s="215">
        <f t="shared" si="96"/>
        <v>0</v>
      </c>
      <c r="AF79" s="312"/>
      <c r="AG79" s="305"/>
      <c r="AH79" s="215">
        <f t="shared" si="97"/>
        <v>0</v>
      </c>
      <c r="AI79" s="312"/>
      <c r="AJ79" s="305"/>
      <c r="AK79" s="215">
        <f t="shared" si="98"/>
        <v>0</v>
      </c>
    </row>
    <row r="80" spans="1:37" ht="15.75" thickBot="1" x14ac:dyDescent="0.3">
      <c r="A80" s="347" t="s">
        <v>336</v>
      </c>
      <c r="B80" s="348"/>
      <c r="C80" s="349"/>
      <c r="D80" s="350">
        <f>SUM(D76:D79)</f>
        <v>0</v>
      </c>
      <c r="E80" s="348"/>
      <c r="F80" s="349"/>
      <c r="G80" s="350">
        <f>SUM(G76:G79)</f>
        <v>0</v>
      </c>
      <c r="H80" s="348"/>
      <c r="I80" s="349"/>
      <c r="J80" s="350">
        <f>SUM(J76:J79)</f>
        <v>0</v>
      </c>
      <c r="K80" s="348"/>
      <c r="L80" s="349"/>
      <c r="M80" s="350">
        <f>SUM(M76:M79)</f>
        <v>155</v>
      </c>
      <c r="N80" s="348"/>
      <c r="O80" s="349"/>
      <c r="P80" s="350">
        <f>SUM(P76:P79)</f>
        <v>0</v>
      </c>
      <c r="Q80" s="348"/>
      <c r="R80" s="349"/>
      <c r="S80" s="350">
        <f>SUM(S76:S79)</f>
        <v>24</v>
      </c>
      <c r="T80" s="348"/>
      <c r="U80" s="349"/>
      <c r="V80" s="350">
        <f>SUM(V76:V79)</f>
        <v>0</v>
      </c>
      <c r="W80" s="348"/>
      <c r="X80" s="349"/>
      <c r="Y80" s="350">
        <f>SUM(Y76:Y79)</f>
        <v>0</v>
      </c>
      <c r="Z80" s="348"/>
      <c r="AA80" s="349"/>
      <c r="AB80" s="350">
        <f>SUM(AB76:AB79)</f>
        <v>0</v>
      </c>
      <c r="AC80" s="348"/>
      <c r="AD80" s="349"/>
      <c r="AE80" s="350">
        <f>SUM(AE76:AE79)</f>
        <v>0</v>
      </c>
      <c r="AF80" s="348"/>
      <c r="AG80" s="349"/>
      <c r="AH80" s="350">
        <f>SUM(AH76:AH79)</f>
        <v>0</v>
      </c>
      <c r="AI80" s="348"/>
      <c r="AJ80" s="349"/>
      <c r="AK80" s="350">
        <f>SUM(AK76:AK79)</f>
        <v>0</v>
      </c>
    </row>
    <row r="81" spans="1:37" x14ac:dyDescent="0.25">
      <c r="A81" s="18" t="s">
        <v>90</v>
      </c>
      <c r="B81" s="19" t="s">
        <v>95</v>
      </c>
      <c r="C81" s="230" t="s">
        <v>96</v>
      </c>
      <c r="D81" s="220" t="s">
        <v>97</v>
      </c>
      <c r="E81" s="19" t="s">
        <v>95</v>
      </c>
      <c r="F81" s="230" t="s">
        <v>96</v>
      </c>
      <c r="G81" s="220" t="s">
        <v>97</v>
      </c>
      <c r="H81" s="19" t="s">
        <v>95</v>
      </c>
      <c r="I81" s="230" t="s">
        <v>96</v>
      </c>
      <c r="J81" s="220" t="s">
        <v>97</v>
      </c>
      <c r="K81" s="19" t="s">
        <v>95</v>
      </c>
      <c r="L81" s="230" t="s">
        <v>96</v>
      </c>
      <c r="M81" s="220" t="s">
        <v>97</v>
      </c>
      <c r="N81" s="19" t="s">
        <v>95</v>
      </c>
      <c r="O81" s="230" t="s">
        <v>96</v>
      </c>
      <c r="P81" s="220" t="s">
        <v>97</v>
      </c>
      <c r="Q81" s="19" t="s">
        <v>95</v>
      </c>
      <c r="R81" s="230" t="s">
        <v>96</v>
      </c>
      <c r="S81" s="220" t="s">
        <v>97</v>
      </c>
      <c r="T81" s="19" t="s">
        <v>95</v>
      </c>
      <c r="U81" s="230" t="s">
        <v>96</v>
      </c>
      <c r="V81" s="220" t="s">
        <v>97</v>
      </c>
      <c r="W81" s="19" t="s">
        <v>95</v>
      </c>
      <c r="X81" s="230" t="s">
        <v>96</v>
      </c>
      <c r="Y81" s="220" t="s">
        <v>97</v>
      </c>
      <c r="Z81" s="19" t="s">
        <v>95</v>
      </c>
      <c r="AA81" s="230" t="s">
        <v>96</v>
      </c>
      <c r="AB81" s="220" t="s">
        <v>97</v>
      </c>
      <c r="AC81" s="19" t="s">
        <v>95</v>
      </c>
      <c r="AD81" s="230" t="s">
        <v>96</v>
      </c>
      <c r="AE81" s="220" t="s">
        <v>97</v>
      </c>
      <c r="AF81" s="19" t="s">
        <v>95</v>
      </c>
      <c r="AG81" s="230" t="s">
        <v>96</v>
      </c>
      <c r="AH81" s="220" t="s">
        <v>97</v>
      </c>
      <c r="AI81" s="19" t="s">
        <v>95</v>
      </c>
      <c r="AJ81" s="230" t="s">
        <v>96</v>
      </c>
      <c r="AK81" s="220" t="s">
        <v>97</v>
      </c>
    </row>
    <row r="82" spans="1:37" x14ac:dyDescent="0.25">
      <c r="A82" s="4" t="s">
        <v>91</v>
      </c>
      <c r="B82" s="312"/>
      <c r="C82" s="305"/>
      <c r="D82" s="215">
        <f>B82*C82</f>
        <v>0</v>
      </c>
      <c r="E82" s="312"/>
      <c r="F82" s="305"/>
      <c r="G82" s="215">
        <f t="shared" ref="G82:G86" si="100">E82*F82</f>
        <v>0</v>
      </c>
      <c r="H82" s="312"/>
      <c r="I82" s="305"/>
      <c r="J82" s="215">
        <f t="shared" ref="J82:J86" si="101">H82*I82</f>
        <v>0</v>
      </c>
      <c r="K82" s="312"/>
      <c r="L82" s="305"/>
      <c r="M82" s="215">
        <f t="shared" ref="M82:M86" si="102">K82*L82</f>
        <v>0</v>
      </c>
      <c r="N82" s="312"/>
      <c r="O82" s="305"/>
      <c r="P82" s="215">
        <f t="shared" ref="P82:P86" si="103">N82*O82</f>
        <v>0</v>
      </c>
      <c r="Q82" s="312"/>
      <c r="R82" s="305"/>
      <c r="S82" s="215">
        <f t="shared" ref="S82:S86" si="104">Q82*R82</f>
        <v>0</v>
      </c>
      <c r="T82" s="312"/>
      <c r="U82" s="305"/>
      <c r="V82" s="215">
        <f t="shared" ref="V82:V86" si="105">T82*U82</f>
        <v>0</v>
      </c>
      <c r="W82" s="312"/>
      <c r="X82" s="305"/>
      <c r="Y82" s="215">
        <f t="shared" ref="Y82:Y86" si="106">W82*X82</f>
        <v>0</v>
      </c>
      <c r="Z82" s="312"/>
      <c r="AA82" s="305"/>
      <c r="AB82" s="215">
        <f t="shared" ref="AB82:AB86" si="107">Z82*AA82</f>
        <v>0</v>
      </c>
      <c r="AC82" s="312"/>
      <c r="AD82" s="305"/>
      <c r="AE82" s="215">
        <f t="shared" ref="AE82:AE86" si="108">AC82*AD82</f>
        <v>0</v>
      </c>
      <c r="AF82" s="312"/>
      <c r="AG82" s="305"/>
      <c r="AH82" s="215">
        <f t="shared" ref="AH82:AH86" si="109">AF82*AG82</f>
        <v>0</v>
      </c>
      <c r="AI82" s="312"/>
      <c r="AJ82" s="305"/>
      <c r="AK82" s="215">
        <f t="shared" ref="AK82:AK86" si="110">AI82*AJ82</f>
        <v>0</v>
      </c>
    </row>
    <row r="83" spans="1:37" x14ac:dyDescent="0.25">
      <c r="A83" s="4" t="s">
        <v>92</v>
      </c>
      <c r="B83" s="312"/>
      <c r="C83" s="305"/>
      <c r="D83" s="215">
        <f t="shared" ref="D83:D86" si="111">B83*C83</f>
        <v>0</v>
      </c>
      <c r="E83" s="312"/>
      <c r="F83" s="305"/>
      <c r="G83" s="215">
        <f t="shared" si="100"/>
        <v>0</v>
      </c>
      <c r="H83" s="312"/>
      <c r="I83" s="305"/>
      <c r="J83" s="215">
        <f t="shared" si="101"/>
        <v>0</v>
      </c>
      <c r="K83" s="312"/>
      <c r="L83" s="305"/>
      <c r="M83" s="215">
        <f t="shared" si="102"/>
        <v>0</v>
      </c>
      <c r="N83" s="312"/>
      <c r="O83" s="305"/>
      <c r="P83" s="215">
        <f t="shared" si="103"/>
        <v>0</v>
      </c>
      <c r="Q83" s="312"/>
      <c r="R83" s="305"/>
      <c r="S83" s="215">
        <f t="shared" si="104"/>
        <v>0</v>
      </c>
      <c r="T83" s="312"/>
      <c r="U83" s="305"/>
      <c r="V83" s="215">
        <f t="shared" si="105"/>
        <v>0</v>
      </c>
      <c r="W83" s="312"/>
      <c r="X83" s="305"/>
      <c r="Y83" s="215">
        <f t="shared" si="106"/>
        <v>0</v>
      </c>
      <c r="Z83" s="312"/>
      <c r="AA83" s="305"/>
      <c r="AB83" s="215">
        <f t="shared" si="107"/>
        <v>0</v>
      </c>
      <c r="AC83" s="312"/>
      <c r="AD83" s="305"/>
      <c r="AE83" s="215">
        <f t="shared" si="108"/>
        <v>0</v>
      </c>
      <c r="AF83" s="312"/>
      <c r="AG83" s="305"/>
      <c r="AH83" s="215">
        <f t="shared" si="109"/>
        <v>0</v>
      </c>
      <c r="AI83" s="312"/>
      <c r="AJ83" s="305"/>
      <c r="AK83" s="215">
        <f t="shared" si="110"/>
        <v>0</v>
      </c>
    </row>
    <row r="84" spans="1:37" x14ac:dyDescent="0.25">
      <c r="A84" s="4" t="s">
        <v>93</v>
      </c>
      <c r="B84" s="312"/>
      <c r="C84" s="305"/>
      <c r="D84" s="215">
        <f t="shared" si="111"/>
        <v>0</v>
      </c>
      <c r="E84" s="312"/>
      <c r="F84" s="305"/>
      <c r="G84" s="215">
        <f t="shared" si="100"/>
        <v>0</v>
      </c>
      <c r="H84" s="312"/>
      <c r="I84" s="305"/>
      <c r="J84" s="215">
        <f t="shared" si="101"/>
        <v>0</v>
      </c>
      <c r="K84" s="312"/>
      <c r="L84" s="305"/>
      <c r="M84" s="215">
        <f t="shared" si="102"/>
        <v>0</v>
      </c>
      <c r="N84" s="312"/>
      <c r="O84" s="305"/>
      <c r="P84" s="215">
        <f t="shared" si="103"/>
        <v>0</v>
      </c>
      <c r="Q84" s="312"/>
      <c r="R84" s="305"/>
      <c r="S84" s="215">
        <f t="shared" si="104"/>
        <v>0</v>
      </c>
      <c r="T84" s="312"/>
      <c r="U84" s="305"/>
      <c r="V84" s="215">
        <f t="shared" si="105"/>
        <v>0</v>
      </c>
      <c r="W84" s="312"/>
      <c r="X84" s="305"/>
      <c r="Y84" s="215">
        <f t="shared" si="106"/>
        <v>0</v>
      </c>
      <c r="Z84" s="312"/>
      <c r="AA84" s="305"/>
      <c r="AB84" s="215">
        <f t="shared" si="107"/>
        <v>0</v>
      </c>
      <c r="AC84" s="312"/>
      <c r="AD84" s="305"/>
      <c r="AE84" s="215">
        <f t="shared" si="108"/>
        <v>0</v>
      </c>
      <c r="AF84" s="312"/>
      <c r="AG84" s="305"/>
      <c r="AH84" s="215">
        <f t="shared" si="109"/>
        <v>0</v>
      </c>
      <c r="AI84" s="312"/>
      <c r="AJ84" s="305"/>
      <c r="AK84" s="215">
        <f t="shared" si="110"/>
        <v>0</v>
      </c>
    </row>
    <row r="85" spans="1:37" x14ac:dyDescent="0.25">
      <c r="A85" s="4" t="s">
        <v>261</v>
      </c>
      <c r="B85" s="312"/>
      <c r="C85" s="305"/>
      <c r="D85" s="215">
        <f t="shared" si="111"/>
        <v>0</v>
      </c>
      <c r="E85" s="312"/>
      <c r="F85" s="305"/>
      <c r="G85" s="215">
        <f t="shared" si="100"/>
        <v>0</v>
      </c>
      <c r="H85" s="312"/>
      <c r="I85" s="305"/>
      <c r="J85" s="215">
        <f t="shared" si="101"/>
        <v>0</v>
      </c>
      <c r="K85" s="312"/>
      <c r="L85" s="305"/>
      <c r="M85" s="215">
        <f t="shared" si="102"/>
        <v>0</v>
      </c>
      <c r="N85" s="312"/>
      <c r="O85" s="305"/>
      <c r="P85" s="215">
        <f t="shared" si="103"/>
        <v>0</v>
      </c>
      <c r="Q85" s="312"/>
      <c r="R85" s="305"/>
      <c r="S85" s="215">
        <f t="shared" si="104"/>
        <v>0</v>
      </c>
      <c r="T85" s="312"/>
      <c r="U85" s="305"/>
      <c r="V85" s="215">
        <f t="shared" si="105"/>
        <v>0</v>
      </c>
      <c r="W85" s="312"/>
      <c r="X85" s="305"/>
      <c r="Y85" s="215">
        <f t="shared" si="106"/>
        <v>0</v>
      </c>
      <c r="Z85" s="312"/>
      <c r="AA85" s="305"/>
      <c r="AB85" s="215">
        <f t="shared" si="107"/>
        <v>0</v>
      </c>
      <c r="AC85" s="312"/>
      <c r="AD85" s="305"/>
      <c r="AE85" s="215">
        <f t="shared" si="108"/>
        <v>0</v>
      </c>
      <c r="AF85" s="312"/>
      <c r="AG85" s="305"/>
      <c r="AH85" s="215">
        <f t="shared" si="109"/>
        <v>0</v>
      </c>
      <c r="AI85" s="312"/>
      <c r="AJ85" s="305"/>
      <c r="AK85" s="215">
        <f t="shared" si="110"/>
        <v>0</v>
      </c>
    </row>
    <row r="86" spans="1:37" x14ac:dyDescent="0.25">
      <c r="A86" s="4" t="s">
        <v>94</v>
      </c>
      <c r="B86" s="312"/>
      <c r="C86" s="305"/>
      <c r="D86" s="215">
        <f t="shared" si="111"/>
        <v>0</v>
      </c>
      <c r="E86" s="312"/>
      <c r="F86" s="305"/>
      <c r="G86" s="215">
        <f t="shared" si="100"/>
        <v>0</v>
      </c>
      <c r="H86" s="312">
        <v>4</v>
      </c>
      <c r="I86" s="305">
        <v>45</v>
      </c>
      <c r="J86" s="215">
        <f t="shared" si="101"/>
        <v>180</v>
      </c>
      <c r="K86" s="312"/>
      <c r="L86" s="305"/>
      <c r="M86" s="215">
        <f t="shared" si="102"/>
        <v>0</v>
      </c>
      <c r="N86" s="312"/>
      <c r="O86" s="305"/>
      <c r="P86" s="215">
        <f t="shared" si="103"/>
        <v>0</v>
      </c>
      <c r="Q86" s="312"/>
      <c r="R86" s="305"/>
      <c r="S86" s="215">
        <f t="shared" si="104"/>
        <v>0</v>
      </c>
      <c r="T86" s="312"/>
      <c r="U86" s="305"/>
      <c r="V86" s="215">
        <f t="shared" si="105"/>
        <v>0</v>
      </c>
      <c r="W86" s="312"/>
      <c r="X86" s="305"/>
      <c r="Y86" s="215">
        <f t="shared" si="106"/>
        <v>0</v>
      </c>
      <c r="Z86" s="312"/>
      <c r="AA86" s="305"/>
      <c r="AB86" s="215">
        <f t="shared" si="107"/>
        <v>0</v>
      </c>
      <c r="AC86" s="312"/>
      <c r="AD86" s="305"/>
      <c r="AE86" s="215">
        <f t="shared" si="108"/>
        <v>0</v>
      </c>
      <c r="AF86" s="312"/>
      <c r="AG86" s="305"/>
      <c r="AH86" s="215">
        <f t="shared" si="109"/>
        <v>0</v>
      </c>
      <c r="AI86" s="312"/>
      <c r="AJ86" s="305"/>
      <c r="AK86" s="215">
        <f t="shared" si="110"/>
        <v>0</v>
      </c>
    </row>
    <row r="87" spans="1:37" ht="15.75" thickBot="1" x14ac:dyDescent="0.3">
      <c r="A87" s="347" t="s">
        <v>336</v>
      </c>
      <c r="B87" s="348"/>
      <c r="C87" s="349"/>
      <c r="D87" s="350">
        <f>SUM(D82:D86)</f>
        <v>0</v>
      </c>
      <c r="E87" s="348"/>
      <c r="F87" s="349"/>
      <c r="G87" s="350">
        <f>SUM(G82:G86)</f>
        <v>0</v>
      </c>
      <c r="H87" s="348"/>
      <c r="I87" s="349"/>
      <c r="J87" s="350">
        <f>SUM(J82:J86)</f>
        <v>180</v>
      </c>
      <c r="K87" s="348"/>
      <c r="L87" s="349"/>
      <c r="M87" s="350">
        <f>SUM(M82:M86)</f>
        <v>0</v>
      </c>
      <c r="N87" s="348"/>
      <c r="O87" s="349"/>
      <c r="P87" s="350">
        <f>SUM(P82:P86)</f>
        <v>0</v>
      </c>
      <c r="Q87" s="348"/>
      <c r="R87" s="349"/>
      <c r="S87" s="350">
        <f>SUM(S82:S86)</f>
        <v>0</v>
      </c>
      <c r="T87" s="348"/>
      <c r="U87" s="349"/>
      <c r="V87" s="350">
        <f>SUM(V82:V86)</f>
        <v>0</v>
      </c>
      <c r="W87" s="348"/>
      <c r="X87" s="349"/>
      <c r="Y87" s="350">
        <f>SUM(Y82:Y86)</f>
        <v>0</v>
      </c>
      <c r="Z87" s="348"/>
      <c r="AA87" s="349"/>
      <c r="AB87" s="350">
        <f>SUM(AB82:AB86)</f>
        <v>0</v>
      </c>
      <c r="AC87" s="348"/>
      <c r="AD87" s="349"/>
      <c r="AE87" s="350">
        <f>SUM(AE82:AE86)</f>
        <v>0</v>
      </c>
      <c r="AF87" s="348"/>
      <c r="AG87" s="349"/>
      <c r="AH87" s="350">
        <f>SUM(AH82:AH86)</f>
        <v>0</v>
      </c>
      <c r="AI87" s="348"/>
      <c r="AJ87" s="349"/>
      <c r="AK87" s="350">
        <f>SUM(AK82:AK86)</f>
        <v>0</v>
      </c>
    </row>
    <row r="88" spans="1:37" ht="15.75" thickBot="1" x14ac:dyDescent="0.3">
      <c r="A88" s="7" t="s">
        <v>262</v>
      </c>
      <c r="B88" s="23" t="s">
        <v>95</v>
      </c>
      <c r="C88" s="231" t="s">
        <v>96</v>
      </c>
      <c r="D88" s="222" t="s">
        <v>97</v>
      </c>
      <c r="E88" s="23" t="s">
        <v>95</v>
      </c>
      <c r="F88" s="231" t="s">
        <v>96</v>
      </c>
      <c r="G88" s="222" t="s">
        <v>97</v>
      </c>
      <c r="H88" s="23" t="s">
        <v>95</v>
      </c>
      <c r="I88" s="231" t="s">
        <v>96</v>
      </c>
      <c r="J88" s="222" t="s">
        <v>97</v>
      </c>
      <c r="K88" s="23" t="s">
        <v>95</v>
      </c>
      <c r="L88" s="231" t="s">
        <v>96</v>
      </c>
      <c r="M88" s="222" t="s">
        <v>97</v>
      </c>
      <c r="N88" s="23" t="s">
        <v>95</v>
      </c>
      <c r="O88" s="231" t="s">
        <v>96</v>
      </c>
      <c r="P88" s="222" t="s">
        <v>97</v>
      </c>
      <c r="Q88" s="23" t="s">
        <v>95</v>
      </c>
      <c r="R88" s="231" t="s">
        <v>96</v>
      </c>
      <c r="S88" s="222" t="s">
        <v>97</v>
      </c>
      <c r="T88" s="23" t="s">
        <v>95</v>
      </c>
      <c r="U88" s="231" t="s">
        <v>96</v>
      </c>
      <c r="V88" s="222" t="s">
        <v>97</v>
      </c>
      <c r="W88" s="23" t="s">
        <v>95</v>
      </c>
      <c r="X88" s="231" t="s">
        <v>96</v>
      </c>
      <c r="Y88" s="222" t="s">
        <v>97</v>
      </c>
      <c r="Z88" s="23" t="s">
        <v>95</v>
      </c>
      <c r="AA88" s="231" t="s">
        <v>96</v>
      </c>
      <c r="AB88" s="222" t="s">
        <v>97</v>
      </c>
      <c r="AC88" s="23" t="s">
        <v>95</v>
      </c>
      <c r="AD88" s="231" t="s">
        <v>96</v>
      </c>
      <c r="AE88" s="222" t="s">
        <v>97</v>
      </c>
      <c r="AF88" s="23" t="s">
        <v>95</v>
      </c>
      <c r="AG88" s="231" t="s">
        <v>96</v>
      </c>
      <c r="AH88" s="222" t="s">
        <v>97</v>
      </c>
      <c r="AI88" s="23" t="s">
        <v>95</v>
      </c>
      <c r="AJ88" s="231" t="s">
        <v>96</v>
      </c>
      <c r="AK88" s="222" t="s">
        <v>97</v>
      </c>
    </row>
    <row r="89" spans="1:37" x14ac:dyDescent="0.25">
      <c r="A89" s="4" t="s">
        <v>98</v>
      </c>
      <c r="B89" s="312"/>
      <c r="C89" s="305"/>
      <c r="D89" s="215">
        <f>B89*C89</f>
        <v>0</v>
      </c>
      <c r="E89" s="312"/>
      <c r="F89" s="305"/>
      <c r="G89" s="215">
        <f t="shared" ref="G89:G91" si="112">E89*F89</f>
        <v>0</v>
      </c>
      <c r="H89" s="312"/>
      <c r="I89" s="305"/>
      <c r="J89" s="215">
        <f t="shared" ref="J89:J91" si="113">H89*I89</f>
        <v>0</v>
      </c>
      <c r="K89" s="312"/>
      <c r="L89" s="305"/>
      <c r="M89" s="215">
        <f t="shared" ref="M89:M91" si="114">K89*L89</f>
        <v>0</v>
      </c>
      <c r="N89" s="312"/>
      <c r="O89" s="305"/>
      <c r="P89" s="215">
        <f t="shared" ref="P89:P91" si="115">N89*O89</f>
        <v>0</v>
      </c>
      <c r="Q89" s="312"/>
      <c r="R89" s="305"/>
      <c r="S89" s="215">
        <f t="shared" ref="S89:S91" si="116">Q89*R89</f>
        <v>0</v>
      </c>
      <c r="T89" s="312"/>
      <c r="U89" s="305"/>
      <c r="V89" s="215">
        <f t="shared" ref="V89:V91" si="117">T89*U89</f>
        <v>0</v>
      </c>
      <c r="W89" s="312"/>
      <c r="X89" s="305"/>
      <c r="Y89" s="215">
        <f t="shared" ref="Y89:Y91" si="118">W89*X89</f>
        <v>0</v>
      </c>
      <c r="Z89" s="312"/>
      <c r="AA89" s="305"/>
      <c r="AB89" s="215">
        <f t="shared" ref="AB89:AB91" si="119">Z89*AA89</f>
        <v>0</v>
      </c>
      <c r="AC89" s="312"/>
      <c r="AD89" s="305"/>
      <c r="AE89" s="215">
        <f t="shared" ref="AE89:AE91" si="120">AC89*AD89</f>
        <v>0</v>
      </c>
      <c r="AF89" s="312"/>
      <c r="AG89" s="305"/>
      <c r="AH89" s="215">
        <f t="shared" ref="AH89:AH91" si="121">AF89*AG89</f>
        <v>0</v>
      </c>
      <c r="AI89" s="312"/>
      <c r="AJ89" s="305"/>
      <c r="AK89" s="215">
        <f t="shared" ref="AK89:AK91" si="122">AI89*AJ89</f>
        <v>0</v>
      </c>
    </row>
    <row r="90" spans="1:37" x14ac:dyDescent="0.25">
      <c r="A90" s="4" t="s">
        <v>99</v>
      </c>
      <c r="B90" s="312"/>
      <c r="C90" s="305"/>
      <c r="D90" s="215">
        <f t="shared" ref="D90:D91" si="123">B90*C90</f>
        <v>0</v>
      </c>
      <c r="E90" s="312"/>
      <c r="F90" s="305"/>
      <c r="G90" s="215">
        <f t="shared" si="112"/>
        <v>0</v>
      </c>
      <c r="H90" s="312"/>
      <c r="I90" s="305"/>
      <c r="J90" s="215">
        <f t="shared" si="113"/>
        <v>0</v>
      </c>
      <c r="K90" s="312"/>
      <c r="L90" s="305"/>
      <c r="M90" s="215">
        <f t="shared" si="114"/>
        <v>0</v>
      </c>
      <c r="N90" s="312"/>
      <c r="O90" s="305"/>
      <c r="P90" s="215">
        <f t="shared" si="115"/>
        <v>0</v>
      </c>
      <c r="Q90" s="312"/>
      <c r="R90" s="305"/>
      <c r="S90" s="215">
        <f t="shared" si="116"/>
        <v>0</v>
      </c>
      <c r="T90" s="312"/>
      <c r="U90" s="305"/>
      <c r="V90" s="215">
        <f t="shared" si="117"/>
        <v>0</v>
      </c>
      <c r="W90" s="312"/>
      <c r="X90" s="305"/>
      <c r="Y90" s="215">
        <f t="shared" si="118"/>
        <v>0</v>
      </c>
      <c r="Z90" s="312"/>
      <c r="AA90" s="305"/>
      <c r="AB90" s="215">
        <f t="shared" si="119"/>
        <v>0</v>
      </c>
      <c r="AC90" s="312"/>
      <c r="AD90" s="305"/>
      <c r="AE90" s="215">
        <f t="shared" si="120"/>
        <v>0</v>
      </c>
      <c r="AF90" s="312"/>
      <c r="AG90" s="305"/>
      <c r="AH90" s="215">
        <f t="shared" si="121"/>
        <v>0</v>
      </c>
      <c r="AI90" s="312"/>
      <c r="AJ90" s="305"/>
      <c r="AK90" s="215">
        <f t="shared" si="122"/>
        <v>0</v>
      </c>
    </row>
    <row r="91" spans="1:37" x14ac:dyDescent="0.25">
      <c r="A91" s="4" t="s">
        <v>100</v>
      </c>
      <c r="B91" s="312"/>
      <c r="C91" s="305"/>
      <c r="D91" s="215">
        <f t="shared" si="123"/>
        <v>0</v>
      </c>
      <c r="E91" s="312"/>
      <c r="F91" s="305"/>
      <c r="G91" s="215">
        <f t="shared" si="112"/>
        <v>0</v>
      </c>
      <c r="H91" s="312"/>
      <c r="I91" s="305"/>
      <c r="J91" s="215">
        <f t="shared" si="113"/>
        <v>0</v>
      </c>
      <c r="K91" s="312"/>
      <c r="L91" s="305"/>
      <c r="M91" s="215">
        <f t="shared" si="114"/>
        <v>0</v>
      </c>
      <c r="N91" s="312"/>
      <c r="O91" s="305"/>
      <c r="P91" s="215">
        <f t="shared" si="115"/>
        <v>0</v>
      </c>
      <c r="Q91" s="312"/>
      <c r="R91" s="305"/>
      <c r="S91" s="215">
        <f t="shared" si="116"/>
        <v>0</v>
      </c>
      <c r="T91" s="312"/>
      <c r="U91" s="305"/>
      <c r="V91" s="215">
        <f t="shared" si="117"/>
        <v>0</v>
      </c>
      <c r="W91" s="312"/>
      <c r="X91" s="305"/>
      <c r="Y91" s="215">
        <f t="shared" si="118"/>
        <v>0</v>
      </c>
      <c r="Z91" s="312"/>
      <c r="AA91" s="305"/>
      <c r="AB91" s="215">
        <f t="shared" si="119"/>
        <v>0</v>
      </c>
      <c r="AC91" s="312"/>
      <c r="AD91" s="305"/>
      <c r="AE91" s="215">
        <f t="shared" si="120"/>
        <v>0</v>
      </c>
      <c r="AF91" s="312"/>
      <c r="AG91" s="305"/>
      <c r="AH91" s="215">
        <f t="shared" si="121"/>
        <v>0</v>
      </c>
      <c r="AI91" s="312"/>
      <c r="AJ91" s="305"/>
      <c r="AK91" s="215">
        <f t="shared" si="122"/>
        <v>0</v>
      </c>
    </row>
    <row r="92" spans="1:37" ht="15.75" thickBot="1" x14ac:dyDescent="0.3">
      <c r="A92" s="347" t="s">
        <v>336</v>
      </c>
      <c r="B92" s="348"/>
      <c r="C92" s="349"/>
      <c r="D92" s="350">
        <f>SUM(D89:D91)</f>
        <v>0</v>
      </c>
      <c r="E92" s="348"/>
      <c r="F92" s="349"/>
      <c r="G92" s="350">
        <f>SUM(G89:G91)</f>
        <v>0</v>
      </c>
      <c r="H92" s="348"/>
      <c r="I92" s="349"/>
      <c r="J92" s="350">
        <f>SUM(J89:J91)</f>
        <v>0</v>
      </c>
      <c r="K92" s="348"/>
      <c r="L92" s="349"/>
      <c r="M92" s="350">
        <f>SUM(M89:M91)</f>
        <v>0</v>
      </c>
      <c r="N92" s="348"/>
      <c r="O92" s="349"/>
      <c r="P92" s="350">
        <f>SUM(P89:P91)</f>
        <v>0</v>
      </c>
      <c r="Q92" s="348"/>
      <c r="R92" s="349"/>
      <c r="S92" s="350">
        <f>SUM(S89:S91)</f>
        <v>0</v>
      </c>
      <c r="T92" s="348"/>
      <c r="U92" s="349"/>
      <c r="V92" s="350">
        <f>SUM(V89:V91)</f>
        <v>0</v>
      </c>
      <c r="W92" s="348"/>
      <c r="X92" s="349"/>
      <c r="Y92" s="350">
        <f>SUM(Y89:Y91)</f>
        <v>0</v>
      </c>
      <c r="Z92" s="348"/>
      <c r="AA92" s="349"/>
      <c r="AB92" s="350">
        <f>SUM(AB89:AB91)</f>
        <v>0</v>
      </c>
      <c r="AC92" s="348"/>
      <c r="AD92" s="349"/>
      <c r="AE92" s="350">
        <f>SUM(AE89:AE91)</f>
        <v>0</v>
      </c>
      <c r="AF92" s="348"/>
      <c r="AG92" s="349"/>
      <c r="AH92" s="350">
        <f>SUM(AH89:AH91)</f>
        <v>0</v>
      </c>
      <c r="AI92" s="348"/>
      <c r="AJ92" s="349"/>
      <c r="AK92" s="350">
        <f>SUM(AK89:AK91)</f>
        <v>0</v>
      </c>
    </row>
    <row r="93" spans="1:37" ht="15.75" thickBot="1" x14ac:dyDescent="0.3">
      <c r="A93" s="7" t="s">
        <v>283</v>
      </c>
      <c r="B93" s="23" t="s">
        <v>95</v>
      </c>
      <c r="C93" s="231" t="s">
        <v>96</v>
      </c>
      <c r="D93" s="222" t="s">
        <v>97</v>
      </c>
      <c r="E93" s="23" t="s">
        <v>95</v>
      </c>
      <c r="F93" s="231" t="s">
        <v>96</v>
      </c>
      <c r="G93" s="222" t="s">
        <v>97</v>
      </c>
      <c r="H93" s="23" t="s">
        <v>95</v>
      </c>
      <c r="I93" s="231" t="s">
        <v>96</v>
      </c>
      <c r="J93" s="222" t="s">
        <v>97</v>
      </c>
      <c r="K93" s="23" t="s">
        <v>95</v>
      </c>
      <c r="L93" s="231" t="s">
        <v>96</v>
      </c>
      <c r="M93" s="222" t="s">
        <v>97</v>
      </c>
      <c r="N93" s="23" t="s">
        <v>95</v>
      </c>
      <c r="O93" s="231" t="s">
        <v>96</v>
      </c>
      <c r="P93" s="222" t="s">
        <v>97</v>
      </c>
      <c r="Q93" s="23" t="s">
        <v>95</v>
      </c>
      <c r="R93" s="231" t="s">
        <v>96</v>
      </c>
      <c r="S93" s="222" t="s">
        <v>97</v>
      </c>
      <c r="T93" s="23" t="s">
        <v>95</v>
      </c>
      <c r="U93" s="231" t="s">
        <v>96</v>
      </c>
      <c r="V93" s="222" t="s">
        <v>97</v>
      </c>
      <c r="W93" s="23" t="s">
        <v>95</v>
      </c>
      <c r="X93" s="231" t="s">
        <v>96</v>
      </c>
      <c r="Y93" s="222" t="s">
        <v>97</v>
      </c>
      <c r="Z93" s="23" t="s">
        <v>95</v>
      </c>
      <c r="AA93" s="231" t="s">
        <v>96</v>
      </c>
      <c r="AB93" s="222" t="s">
        <v>97</v>
      </c>
      <c r="AC93" s="23" t="s">
        <v>95</v>
      </c>
      <c r="AD93" s="231" t="s">
        <v>96</v>
      </c>
      <c r="AE93" s="222" t="s">
        <v>97</v>
      </c>
      <c r="AF93" s="23" t="s">
        <v>95</v>
      </c>
      <c r="AG93" s="231" t="s">
        <v>96</v>
      </c>
      <c r="AH93" s="222" t="s">
        <v>97</v>
      </c>
      <c r="AI93" s="23" t="s">
        <v>95</v>
      </c>
      <c r="AJ93" s="231" t="s">
        <v>96</v>
      </c>
      <c r="AK93" s="222" t="s">
        <v>97</v>
      </c>
    </row>
    <row r="94" spans="1:37" ht="15.75" thickBot="1" x14ac:dyDescent="0.3">
      <c r="A94" s="196" t="s">
        <v>263</v>
      </c>
      <c r="B94" s="315"/>
      <c r="C94" s="316"/>
      <c r="D94" s="217">
        <f>B94*C94</f>
        <v>0</v>
      </c>
      <c r="E94" s="315"/>
      <c r="F94" s="316"/>
      <c r="G94" s="217">
        <f t="shared" ref="G94" si="124">E94*F94</f>
        <v>0</v>
      </c>
      <c r="H94" s="315"/>
      <c r="I94" s="316"/>
      <c r="J94" s="217">
        <f t="shared" ref="J94" si="125">H94*I94</f>
        <v>0</v>
      </c>
      <c r="K94" s="315"/>
      <c r="L94" s="316"/>
      <c r="M94" s="217">
        <f t="shared" ref="M94" si="126">K94*L94</f>
        <v>0</v>
      </c>
      <c r="N94" s="315"/>
      <c r="O94" s="316"/>
      <c r="P94" s="217">
        <f t="shared" ref="P94" si="127">N94*O94</f>
        <v>0</v>
      </c>
      <c r="Q94" s="315"/>
      <c r="R94" s="316"/>
      <c r="S94" s="217">
        <f t="shared" ref="S94" si="128">Q94*R94</f>
        <v>0</v>
      </c>
      <c r="T94" s="315"/>
      <c r="U94" s="316"/>
      <c r="V94" s="217">
        <f t="shared" ref="V94" si="129">T94*U94</f>
        <v>0</v>
      </c>
      <c r="W94" s="315"/>
      <c r="X94" s="316"/>
      <c r="Y94" s="217">
        <f t="shared" ref="Y94" si="130">W94*X94</f>
        <v>0</v>
      </c>
      <c r="Z94" s="315"/>
      <c r="AA94" s="316"/>
      <c r="AB94" s="217">
        <f t="shared" ref="AB94" si="131">Z94*AA94</f>
        <v>0</v>
      </c>
      <c r="AC94" s="315"/>
      <c r="AD94" s="316"/>
      <c r="AE94" s="217">
        <f t="shared" ref="AE94" si="132">AC94*AD94</f>
        <v>0</v>
      </c>
      <c r="AF94" s="315"/>
      <c r="AG94" s="316"/>
      <c r="AH94" s="217">
        <f t="shared" ref="AH94" si="133">AF94*AG94</f>
        <v>0</v>
      </c>
      <c r="AI94" s="315"/>
      <c r="AJ94" s="316"/>
      <c r="AK94" s="217">
        <f t="shared" ref="AK94" si="134">AI94*AJ94</f>
        <v>0</v>
      </c>
    </row>
    <row r="95" spans="1:37" ht="15.75" thickBot="1" x14ac:dyDescent="0.3">
      <c r="A95" s="7" t="s">
        <v>469</v>
      </c>
      <c r="B95" s="22"/>
      <c r="C95" s="232"/>
      <c r="D95" s="223">
        <f>SUM(D94,D89:D91,D82:D86,D76:D79,D62:D73,D54:D59,D42:D51,D29:D39,D16:D26)</f>
        <v>1548.7206000000001</v>
      </c>
      <c r="E95" s="22"/>
      <c r="F95" s="232"/>
      <c r="G95" s="223">
        <f>SUM(G94,G89:G91,G82:G86,G76:G79,G62:G73,G54:G59,G42:G51,G29:G39,G16:G26)</f>
        <v>1912.4545000000001</v>
      </c>
      <c r="H95" s="22"/>
      <c r="I95" s="232"/>
      <c r="J95" s="223">
        <f>SUM(J94,J89:J91,J82:J86,J76:J79,J62:J73,J54:J59,J42:J51,J29:J39,J16:J26)</f>
        <v>1417.4</v>
      </c>
      <c r="K95" s="22"/>
      <c r="L95" s="232"/>
      <c r="M95" s="223">
        <f>SUM(M94,M89:M91,M82:M86,M76:M79,M62:M73,M54:M59,M42:M51,M29:M39,M16:M26)</f>
        <v>1689.4</v>
      </c>
      <c r="N95" s="22"/>
      <c r="O95" s="232"/>
      <c r="P95" s="223">
        <f>SUM(P94,P89:P91,P82:P86,P76:P79,P62:P73,P54:P59,P42:P51,P29:P39,P16:P26)</f>
        <v>1448</v>
      </c>
      <c r="Q95" s="22"/>
      <c r="R95" s="232"/>
      <c r="S95" s="223">
        <f>SUM(S94,S89:S91,S82:S86,S76:S79,S62:S73,S54:S59,S42:S51,S29:S39,S16:S26)</f>
        <v>2271.2717499999999</v>
      </c>
      <c r="T95" s="22"/>
      <c r="U95" s="232"/>
      <c r="V95" s="223">
        <f>SUM(V94,V89:V91,V82:V86,V76:V79,V62:V73,V54:V59,V42:V51,V29:V39,V16:V26)</f>
        <v>1709.55</v>
      </c>
      <c r="W95" s="22"/>
      <c r="X95" s="232"/>
      <c r="Y95" s="223">
        <f>SUM(Y94,Y89:Y91,Y82:Y86,Y76:Y79,Y62:Y73,Y54:Y59,Y42:Y51,Y29:Y39,Y16:Y26)</f>
        <v>1647.5</v>
      </c>
      <c r="Z95" s="22"/>
      <c r="AA95" s="232"/>
      <c r="AB95" s="223">
        <f>SUM(AB94,AB89:AB91,AB82:AB86,AB76:AB79,AB62:AB73,AB54:AB59,AB42:AB51,AB29:AB39,AB16:AB26)</f>
        <v>1625.4635430000001</v>
      </c>
      <c r="AC95" s="22"/>
      <c r="AD95" s="232"/>
      <c r="AE95" s="223">
        <f>SUM(AE94,AE89:AE91,AE82:AE86,AE76:AE79,AE62:AE73,AE54:AE59,AE42:AE51,AE29:AE39,AE16:AE26)</f>
        <v>23724.240809999999</v>
      </c>
      <c r="AF95" s="22"/>
      <c r="AG95" s="232"/>
      <c r="AH95" s="223">
        <f>SUM(AH94,AH89:AH91,AH82:AH86,AH76:AH79,AH62:AH73,AH54:AH59,AH42:AH51,AH29:AH39,AH16:AH26)</f>
        <v>2799.8540459999999</v>
      </c>
      <c r="AI95" s="22"/>
      <c r="AJ95" s="232"/>
      <c r="AK95" s="223">
        <f>SUM(AK94,AK89:AK91,AK82:AK86,AK76:AK79,AK62:AK73,AK54:AK59,AK42:AK51,AK29:AK39,AK16:AK26)</f>
        <v>3643.0970100000004</v>
      </c>
    </row>
    <row r="96" spans="1:37" ht="15.75" thickBot="1" x14ac:dyDescent="0.3">
      <c r="A96" s="6" t="s">
        <v>101</v>
      </c>
      <c r="B96" s="317">
        <v>2</v>
      </c>
      <c r="C96" s="340">
        <f>INVENTÁRIO!$J$36</f>
        <v>975.33333333333337</v>
      </c>
      <c r="D96" s="224">
        <f>B96*C96</f>
        <v>1950.6666666666667</v>
      </c>
      <c r="E96" s="317">
        <v>1</v>
      </c>
      <c r="F96" s="340">
        <f>INVENTÁRIO!$J$36</f>
        <v>975.33333333333337</v>
      </c>
      <c r="G96" s="224">
        <f t="shared" ref="G96" si="135">E96*F96</f>
        <v>975.33333333333337</v>
      </c>
      <c r="H96" s="317"/>
      <c r="I96" s="340">
        <f>INVENTÁRIO!$J$36</f>
        <v>975.33333333333337</v>
      </c>
      <c r="J96" s="224">
        <f t="shared" ref="J96" si="136">H96*I96</f>
        <v>0</v>
      </c>
      <c r="K96" s="317">
        <v>1</v>
      </c>
      <c r="L96" s="340">
        <f>INVENTÁRIO!$J$36</f>
        <v>975.33333333333337</v>
      </c>
      <c r="M96" s="224">
        <f t="shared" ref="M96" si="137">K96*L96</f>
        <v>975.33333333333337</v>
      </c>
      <c r="N96" s="317">
        <v>1</v>
      </c>
      <c r="O96" s="340">
        <f>INVENTÁRIO!$J$36</f>
        <v>975.33333333333337</v>
      </c>
      <c r="P96" s="224">
        <f t="shared" ref="P96" si="138">N96*O96</f>
        <v>975.33333333333337</v>
      </c>
      <c r="Q96" s="317">
        <v>2</v>
      </c>
      <c r="R96" s="340">
        <f>INVENTÁRIO!$J$36</f>
        <v>975.33333333333337</v>
      </c>
      <c r="S96" s="224">
        <f t="shared" ref="S96" si="139">Q96*R96</f>
        <v>1950.6666666666667</v>
      </c>
      <c r="T96" s="317">
        <v>2</v>
      </c>
      <c r="U96" s="340">
        <f>INVENTÁRIO!$J$36</f>
        <v>975.33333333333337</v>
      </c>
      <c r="V96" s="224">
        <f t="shared" ref="V96" si="140">T96*U96</f>
        <v>1950.6666666666667</v>
      </c>
      <c r="W96" s="317">
        <v>2</v>
      </c>
      <c r="X96" s="340">
        <f>INVENTÁRIO!$J$36</f>
        <v>975.33333333333337</v>
      </c>
      <c r="Y96" s="224">
        <f t="shared" ref="Y96" si="141">W96*X96</f>
        <v>1950.6666666666667</v>
      </c>
      <c r="Z96" s="317">
        <v>2</v>
      </c>
      <c r="AA96" s="340">
        <f>INVENTÁRIO!$J$36</f>
        <v>975.33333333333337</v>
      </c>
      <c r="AB96" s="224">
        <f t="shared" ref="AB96" si="142">Z96*AA96</f>
        <v>1950.6666666666667</v>
      </c>
      <c r="AC96" s="317">
        <v>2</v>
      </c>
      <c r="AD96" s="340">
        <f>INVENTÁRIO!$J$36</f>
        <v>975.33333333333337</v>
      </c>
      <c r="AE96" s="224">
        <f t="shared" ref="AE96" si="143">AC96*AD96</f>
        <v>1950.6666666666667</v>
      </c>
      <c r="AF96" s="317">
        <v>1</v>
      </c>
      <c r="AG96" s="340">
        <f>INVENTÁRIO!$J$36</f>
        <v>975.33333333333337</v>
      </c>
      <c r="AH96" s="224">
        <f t="shared" ref="AH96" si="144">AF96*AG96</f>
        <v>975.33333333333337</v>
      </c>
      <c r="AI96" s="317">
        <v>2</v>
      </c>
      <c r="AJ96" s="340">
        <f>INVENTÁRIO!$J$36</f>
        <v>975.33333333333337</v>
      </c>
      <c r="AK96" s="223">
        <f t="shared" ref="AK96" si="145">AI96*AJ96</f>
        <v>1950.6666666666667</v>
      </c>
    </row>
    <row r="97" spans="2:37" x14ac:dyDescent="0.25">
      <c r="B97" s="5"/>
      <c r="C97" s="225"/>
      <c r="D97" s="22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</row>
    <row r="98" spans="2:37" x14ac:dyDescent="0.25">
      <c r="B98" s="5"/>
      <c r="C98" s="225"/>
      <c r="D98" s="22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</row>
  </sheetData>
  <sheetProtection algorithmName="SHA-512" hashValue="mKxKoWr/jO4dIy+tMXx5KjBjgbVLBaUuz19Rse2C2HQxekYg+UiExJWybIjzDNbeLQSA6NBd7gaOmDn1O3AJ2A==" saltValue="A3U8Ptdv9hg44ZTIKnxQgw==" spinCount="100000" sheet="1" objects="1" scenarios="1"/>
  <mergeCells count="13">
    <mergeCell ref="AC5:AE5"/>
    <mergeCell ref="AF5:AH5"/>
    <mergeCell ref="AI5:AK5"/>
    <mergeCell ref="N5:P5"/>
    <mergeCell ref="Q5:S5"/>
    <mergeCell ref="T5:V5"/>
    <mergeCell ref="W5:Y5"/>
    <mergeCell ref="Z5:AB5"/>
    <mergeCell ref="A2:B4"/>
    <mergeCell ref="B5:D5"/>
    <mergeCell ref="E5:G5"/>
    <mergeCell ref="H5:J5"/>
    <mergeCell ref="K5:M5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571500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mpar_dados_economicos_mensais">
                <anchor moveWithCells="1" sizeWithCells="1">
                  <from>
                    <xdr:col>0</xdr:col>
                    <xdr:colOff>590550</xdr:colOff>
                    <xdr:row>0</xdr:row>
                    <xdr:rowOff>19050</xdr:rowOff>
                  </from>
                  <to>
                    <xdr:col>0</xdr:col>
                    <xdr:colOff>1133475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S153"/>
  <sheetViews>
    <sheetView workbookViewId="0">
      <pane xSplit="1" topLeftCell="B1" activePane="topRight" state="frozen"/>
      <selection pane="topRight" activeCell="N27" sqref="N27"/>
    </sheetView>
  </sheetViews>
  <sheetFormatPr defaultColWidth="9.140625" defaultRowHeight="15" x14ac:dyDescent="0.25"/>
  <cols>
    <col min="1" max="1" width="46.85546875" style="1" bestFit="1" customWidth="1"/>
    <col min="2" max="2" width="9.140625" style="1"/>
    <col min="3" max="15" width="10.140625" style="1" customWidth="1"/>
    <col min="16" max="16384" width="9.140625" style="1"/>
  </cols>
  <sheetData>
    <row r="1" spans="1:17" x14ac:dyDescent="0.25">
      <c r="D1" s="142"/>
    </row>
    <row r="2" spans="1:17" x14ac:dyDescent="0.25">
      <c r="A2" s="517" t="s">
        <v>122</v>
      </c>
      <c r="B2" s="517"/>
    </row>
    <row r="3" spans="1:17" x14ac:dyDescent="0.25">
      <c r="A3" s="517"/>
      <c r="B3" s="517"/>
    </row>
    <row r="4" spans="1:17" x14ac:dyDescent="0.25">
      <c r="A4" s="529"/>
      <c r="B4" s="529"/>
    </row>
    <row r="5" spans="1:17" x14ac:dyDescent="0.25">
      <c r="A5" s="24" t="s">
        <v>104</v>
      </c>
      <c r="B5" s="25"/>
      <c r="C5" s="26" t="s">
        <v>4</v>
      </c>
      <c r="D5" s="26" t="s">
        <v>5</v>
      </c>
      <c r="E5" s="26" t="s">
        <v>6</v>
      </c>
      <c r="F5" s="26" t="s">
        <v>7</v>
      </c>
      <c r="G5" s="26" t="s">
        <v>8</v>
      </c>
      <c r="H5" s="26" t="s">
        <v>41</v>
      </c>
      <c r="I5" s="26" t="s">
        <v>42</v>
      </c>
      <c r="J5" s="26" t="s">
        <v>53</v>
      </c>
      <c r="K5" s="26" t="s">
        <v>44</v>
      </c>
      <c r="L5" s="26" t="s">
        <v>45</v>
      </c>
      <c r="M5" s="26" t="s">
        <v>46</v>
      </c>
      <c r="N5" s="26" t="s">
        <v>47</v>
      </c>
      <c r="O5" s="27" t="s">
        <v>105</v>
      </c>
    </row>
    <row r="6" spans="1:17" x14ac:dyDescent="0.25">
      <c r="A6" s="526" t="s">
        <v>211</v>
      </c>
      <c r="B6" s="526"/>
      <c r="C6" s="489">
        <f>C7/31</f>
        <v>61.612903225806448</v>
      </c>
      <c r="D6" s="489">
        <f>D7/28</f>
        <v>82.142857142857139</v>
      </c>
      <c r="E6" s="489">
        <f t="shared" ref="E6:N6" si="0">E7/31</f>
        <v>76</v>
      </c>
      <c r="F6" s="489">
        <f>F7/30</f>
        <v>68</v>
      </c>
      <c r="G6" s="489">
        <f t="shared" si="0"/>
        <v>57</v>
      </c>
      <c r="H6" s="489">
        <f>H7/30</f>
        <v>74.13333333333334</v>
      </c>
      <c r="I6" s="489">
        <f t="shared" si="0"/>
        <v>61.451612903225808</v>
      </c>
      <c r="J6" s="489">
        <f t="shared" si="0"/>
        <v>54.741935483870968</v>
      </c>
      <c r="K6" s="489">
        <f>K7/30</f>
        <v>51.466666666666669</v>
      </c>
      <c r="L6" s="489">
        <f t="shared" si="0"/>
        <v>45.096774193548384</v>
      </c>
      <c r="M6" s="489">
        <f>M7/30</f>
        <v>94.1</v>
      </c>
      <c r="N6" s="489">
        <f t="shared" si="0"/>
        <v>0</v>
      </c>
      <c r="O6" s="489">
        <f>AVERAGE(C6:N6)</f>
        <v>60.478840245775729</v>
      </c>
    </row>
    <row r="7" spans="1:17" x14ac:dyDescent="0.25">
      <c r="A7" s="527" t="s">
        <v>106</v>
      </c>
      <c r="B7" s="528"/>
      <c r="C7" s="302">
        <v>1910</v>
      </c>
      <c r="D7" s="302">
        <v>2300</v>
      </c>
      <c r="E7" s="302">
        <v>2356</v>
      </c>
      <c r="F7" s="318">
        <v>2040</v>
      </c>
      <c r="G7" s="302">
        <v>1767</v>
      </c>
      <c r="H7" s="302">
        <v>2224</v>
      </c>
      <c r="I7" s="302">
        <v>1905</v>
      </c>
      <c r="J7" s="302">
        <v>1697</v>
      </c>
      <c r="K7" s="302">
        <v>1544</v>
      </c>
      <c r="L7" s="302">
        <v>1398</v>
      </c>
      <c r="M7" s="302">
        <v>2823</v>
      </c>
      <c r="N7" s="318"/>
      <c r="O7" s="353">
        <f>AVERAGE(C7:N7)</f>
        <v>1996.7272727272727</v>
      </c>
    </row>
    <row r="9" spans="1:17" s="5" customFormat="1" x14ac:dyDescent="0.25">
      <c r="A9" s="143"/>
      <c r="B9" s="143"/>
      <c r="C9" s="143"/>
      <c r="D9" s="143"/>
      <c r="E9" s="143"/>
    </row>
    <row r="10" spans="1:17" s="5" customFormat="1" x14ac:dyDescent="0.25">
      <c r="A10" s="198" t="s">
        <v>282</v>
      </c>
      <c r="B10" s="199"/>
      <c r="C10" s="195" t="s">
        <v>4</v>
      </c>
      <c r="D10" s="195" t="s">
        <v>5</v>
      </c>
      <c r="E10" s="195" t="s">
        <v>6</v>
      </c>
      <c r="F10" s="195" t="s">
        <v>7</v>
      </c>
      <c r="G10" s="195" t="s">
        <v>8</v>
      </c>
      <c r="H10" s="195" t="s">
        <v>41</v>
      </c>
      <c r="I10" s="195" t="s">
        <v>42</v>
      </c>
      <c r="J10" s="195" t="s">
        <v>53</v>
      </c>
      <c r="K10" s="195" t="s">
        <v>44</v>
      </c>
      <c r="L10" s="195" t="s">
        <v>45</v>
      </c>
      <c r="M10" s="195" t="s">
        <v>46</v>
      </c>
      <c r="N10" s="195" t="s">
        <v>47</v>
      </c>
      <c r="O10" s="198" t="s">
        <v>281</v>
      </c>
      <c r="P10" s="145"/>
      <c r="Q10" s="145"/>
    </row>
    <row r="11" spans="1:17" s="5" customFormat="1" x14ac:dyDescent="0.25">
      <c r="A11" s="30" t="s">
        <v>264</v>
      </c>
      <c r="C11" s="308">
        <v>7</v>
      </c>
      <c r="D11" s="308">
        <v>7</v>
      </c>
      <c r="E11" s="308">
        <v>7</v>
      </c>
      <c r="F11" s="308">
        <v>7</v>
      </c>
      <c r="G11" s="308">
        <v>6</v>
      </c>
      <c r="H11" s="308">
        <v>6</v>
      </c>
      <c r="I11" s="308">
        <v>6</v>
      </c>
      <c r="J11" s="308">
        <v>6</v>
      </c>
      <c r="K11" s="308">
        <v>5</v>
      </c>
      <c r="L11" s="308">
        <v>5</v>
      </c>
      <c r="M11" s="308">
        <v>5</v>
      </c>
      <c r="N11" s="308">
        <v>9</v>
      </c>
      <c r="O11" s="11">
        <f>AVERAGE(C11:N11)</f>
        <v>6.333333333333333</v>
      </c>
    </row>
    <row r="12" spans="1:17" s="5" customFormat="1" x14ac:dyDescent="0.25">
      <c r="A12" s="11" t="s">
        <v>265</v>
      </c>
      <c r="C12" s="309">
        <v>5</v>
      </c>
      <c r="D12" s="309">
        <v>5</v>
      </c>
      <c r="E12" s="309">
        <v>5</v>
      </c>
      <c r="F12" s="309">
        <v>5</v>
      </c>
      <c r="G12" s="309">
        <v>8</v>
      </c>
      <c r="H12" s="309">
        <v>3</v>
      </c>
      <c r="I12" s="309">
        <v>3</v>
      </c>
      <c r="J12" s="309">
        <v>3</v>
      </c>
      <c r="K12" s="309">
        <v>4</v>
      </c>
      <c r="L12" s="309">
        <v>4</v>
      </c>
      <c r="M12" s="309">
        <v>4</v>
      </c>
      <c r="N12" s="309">
        <v>0</v>
      </c>
      <c r="O12" s="11">
        <f>AVERAGE(C12:N12)</f>
        <v>4.083333333333333</v>
      </c>
    </row>
    <row r="13" spans="1:17" s="5" customFormat="1" x14ac:dyDescent="0.25">
      <c r="A13" s="11" t="s">
        <v>266</v>
      </c>
      <c r="C13" s="309">
        <v>3</v>
      </c>
      <c r="D13" s="309">
        <v>3</v>
      </c>
      <c r="E13" s="309">
        <v>3</v>
      </c>
      <c r="F13" s="309">
        <v>3</v>
      </c>
      <c r="G13" s="309">
        <v>10</v>
      </c>
      <c r="H13" s="309">
        <v>10</v>
      </c>
      <c r="I13" s="309">
        <v>10</v>
      </c>
      <c r="J13" s="309">
        <v>10</v>
      </c>
      <c r="K13" s="309">
        <v>10</v>
      </c>
      <c r="L13" s="309">
        <v>11</v>
      </c>
      <c r="M13" s="309">
        <v>10</v>
      </c>
      <c r="N13" s="309">
        <v>11</v>
      </c>
      <c r="O13" s="11">
        <f t="shared" ref="O13:O31" si="1">AVERAGE(C13:N13)</f>
        <v>7.833333333333333</v>
      </c>
    </row>
    <row r="14" spans="1:17" s="5" customFormat="1" x14ac:dyDescent="0.25">
      <c r="A14" s="11" t="s">
        <v>267</v>
      </c>
      <c r="C14" s="309">
        <v>5</v>
      </c>
      <c r="D14" s="309">
        <v>5</v>
      </c>
      <c r="E14" s="309">
        <v>5</v>
      </c>
      <c r="F14" s="309">
        <v>5</v>
      </c>
      <c r="G14" s="309">
        <v>1</v>
      </c>
      <c r="H14" s="309">
        <v>1</v>
      </c>
      <c r="I14" s="309">
        <v>1</v>
      </c>
      <c r="J14" s="309">
        <v>1</v>
      </c>
      <c r="K14" s="309">
        <v>1</v>
      </c>
      <c r="L14" s="309">
        <v>3</v>
      </c>
      <c r="M14" s="309">
        <v>3</v>
      </c>
      <c r="N14" s="309">
        <v>3</v>
      </c>
      <c r="O14" s="11">
        <f t="shared" si="1"/>
        <v>2.8333333333333335</v>
      </c>
    </row>
    <row r="15" spans="1:17" s="5" customFormat="1" x14ac:dyDescent="0.25">
      <c r="A15" s="11" t="s">
        <v>268</v>
      </c>
      <c r="C15" s="309">
        <v>0</v>
      </c>
      <c r="D15" s="309">
        <v>0</v>
      </c>
      <c r="E15" s="309">
        <v>0</v>
      </c>
      <c r="F15" s="309">
        <v>0</v>
      </c>
      <c r="G15" s="309">
        <v>2</v>
      </c>
      <c r="H15" s="309">
        <v>1</v>
      </c>
      <c r="I15" s="309">
        <v>1</v>
      </c>
      <c r="J15" s="309">
        <v>1</v>
      </c>
      <c r="K15" s="309">
        <v>1</v>
      </c>
      <c r="L15" s="309">
        <v>1</v>
      </c>
      <c r="M15" s="309">
        <v>0</v>
      </c>
      <c r="N15" s="309">
        <v>4</v>
      </c>
      <c r="O15" s="11">
        <f t="shared" si="1"/>
        <v>0.91666666666666663</v>
      </c>
    </row>
    <row r="16" spans="1:17" s="5" customFormat="1" x14ac:dyDescent="0.25">
      <c r="A16" s="11" t="s">
        <v>230</v>
      </c>
      <c r="C16" s="309">
        <v>0</v>
      </c>
      <c r="D16" s="309">
        <v>0</v>
      </c>
      <c r="E16" s="309">
        <v>0</v>
      </c>
      <c r="F16" s="309">
        <v>0</v>
      </c>
      <c r="G16" s="309">
        <v>0</v>
      </c>
      <c r="H16" s="309">
        <v>0</v>
      </c>
      <c r="I16" s="309">
        <v>0</v>
      </c>
      <c r="J16" s="309">
        <v>0</v>
      </c>
      <c r="K16" s="309">
        <v>0</v>
      </c>
      <c r="L16" s="309">
        <v>0</v>
      </c>
      <c r="M16" s="309">
        <v>0</v>
      </c>
      <c r="N16" s="309">
        <v>0</v>
      </c>
      <c r="O16" s="11">
        <f t="shared" si="1"/>
        <v>0</v>
      </c>
    </row>
    <row r="17" spans="1:17" s="5" customFormat="1" x14ac:dyDescent="0.25">
      <c r="A17" s="11" t="s">
        <v>55</v>
      </c>
      <c r="C17" s="309">
        <v>0</v>
      </c>
      <c r="D17" s="309">
        <v>0</v>
      </c>
      <c r="E17" s="309">
        <v>0</v>
      </c>
      <c r="F17" s="309">
        <v>0</v>
      </c>
      <c r="G17" s="309">
        <v>0</v>
      </c>
      <c r="H17" s="309">
        <v>0</v>
      </c>
      <c r="I17" s="309">
        <v>0</v>
      </c>
      <c r="J17" s="309">
        <v>0</v>
      </c>
      <c r="K17" s="309">
        <v>0</v>
      </c>
      <c r="L17" s="309">
        <v>0</v>
      </c>
      <c r="M17" s="309">
        <v>0</v>
      </c>
      <c r="N17" s="309">
        <v>0</v>
      </c>
      <c r="O17" s="11">
        <f t="shared" si="1"/>
        <v>0</v>
      </c>
    </row>
    <row r="18" spans="1:17" s="5" customFormat="1" x14ac:dyDescent="0.25">
      <c r="A18" s="11" t="s">
        <v>269</v>
      </c>
      <c r="C18" s="309">
        <v>0</v>
      </c>
      <c r="D18" s="309">
        <v>0</v>
      </c>
      <c r="E18" s="309">
        <v>4</v>
      </c>
      <c r="F18" s="309">
        <v>0</v>
      </c>
      <c r="G18" s="309">
        <v>0</v>
      </c>
      <c r="H18" s="309">
        <v>0</v>
      </c>
      <c r="I18" s="309">
        <v>0</v>
      </c>
      <c r="J18" s="309">
        <v>0</v>
      </c>
      <c r="K18" s="309">
        <v>0</v>
      </c>
      <c r="L18" s="309">
        <v>0</v>
      </c>
      <c r="M18" s="309">
        <v>0</v>
      </c>
      <c r="N18" s="309">
        <v>2</v>
      </c>
      <c r="O18" s="11">
        <f t="shared" si="1"/>
        <v>0.5</v>
      </c>
    </row>
    <row r="19" spans="1:17" s="5" customFormat="1" x14ac:dyDescent="0.25">
      <c r="A19" s="11" t="s">
        <v>270</v>
      </c>
      <c r="C19" s="309">
        <v>0</v>
      </c>
      <c r="D19" s="309">
        <v>0</v>
      </c>
      <c r="E19" s="309">
        <v>0</v>
      </c>
      <c r="F19" s="309">
        <v>0</v>
      </c>
      <c r="G19" s="309">
        <v>1</v>
      </c>
      <c r="H19" s="309">
        <v>0</v>
      </c>
      <c r="I19" s="309">
        <v>0</v>
      </c>
      <c r="J19" s="309">
        <v>0</v>
      </c>
      <c r="K19" s="309">
        <v>0</v>
      </c>
      <c r="L19" s="309">
        <v>3</v>
      </c>
      <c r="M19" s="309">
        <v>0</v>
      </c>
      <c r="N19" s="309">
        <v>4</v>
      </c>
      <c r="O19" s="11">
        <f t="shared" si="1"/>
        <v>0.66666666666666663</v>
      </c>
    </row>
    <row r="20" spans="1:17" s="5" customFormat="1" x14ac:dyDescent="0.25">
      <c r="A20" s="30" t="s">
        <v>271</v>
      </c>
      <c r="C20" s="309">
        <v>0</v>
      </c>
      <c r="D20" s="309">
        <v>0</v>
      </c>
      <c r="E20" s="309">
        <v>0</v>
      </c>
      <c r="F20" s="309">
        <v>0</v>
      </c>
      <c r="G20" s="309">
        <v>0</v>
      </c>
      <c r="H20" s="309">
        <v>0</v>
      </c>
      <c r="I20" s="309">
        <v>0</v>
      </c>
      <c r="J20" s="309">
        <v>0</v>
      </c>
      <c r="K20" s="309">
        <v>0</v>
      </c>
      <c r="L20" s="309">
        <v>0</v>
      </c>
      <c r="M20" s="309">
        <v>0</v>
      </c>
      <c r="N20" s="309">
        <v>0</v>
      </c>
      <c r="O20" s="11">
        <f t="shared" si="1"/>
        <v>0</v>
      </c>
    </row>
    <row r="21" spans="1:17" s="5" customFormat="1" x14ac:dyDescent="0.25">
      <c r="A21" s="11"/>
      <c r="C21" s="309"/>
      <c r="D21" s="309"/>
      <c r="E21" s="309"/>
      <c r="F21" s="309"/>
      <c r="G21" s="309"/>
      <c r="H21" s="309"/>
      <c r="I21" s="309"/>
      <c r="J21" s="309"/>
      <c r="K21" s="309"/>
      <c r="L21" s="309"/>
      <c r="M21" s="309"/>
      <c r="N21" s="309"/>
      <c r="O21" s="11" t="e">
        <f t="shared" si="1"/>
        <v>#DIV/0!</v>
      </c>
    </row>
    <row r="22" spans="1:17" s="5" customFormat="1" x14ac:dyDescent="0.25">
      <c r="A22" s="31" t="s">
        <v>272</v>
      </c>
      <c r="B22" s="201"/>
      <c r="C22" s="28"/>
      <c r="D22" s="28"/>
      <c r="E22" s="28"/>
      <c r="F22" s="197"/>
      <c r="G22" s="197"/>
      <c r="H22" s="28"/>
      <c r="I22" s="28"/>
      <c r="J22" s="28"/>
      <c r="K22" s="28"/>
      <c r="L22" s="28"/>
      <c r="M22" s="197"/>
      <c r="N22" s="199"/>
      <c r="O22" s="11"/>
    </row>
    <row r="23" spans="1:17" s="5" customFormat="1" x14ac:dyDescent="0.25">
      <c r="A23" s="11" t="s">
        <v>273</v>
      </c>
      <c r="C23" s="309">
        <v>0</v>
      </c>
      <c r="D23" s="309">
        <v>0</v>
      </c>
      <c r="E23" s="309">
        <v>0</v>
      </c>
      <c r="F23" s="319">
        <v>0</v>
      </c>
      <c r="G23" s="319">
        <v>0</v>
      </c>
      <c r="H23" s="309">
        <v>0</v>
      </c>
      <c r="I23" s="309">
        <v>0</v>
      </c>
      <c r="J23" s="309">
        <v>0</v>
      </c>
      <c r="K23" s="309">
        <v>0</v>
      </c>
      <c r="L23" s="309">
        <v>0</v>
      </c>
      <c r="M23" s="319">
        <v>0</v>
      </c>
      <c r="N23" s="320">
        <v>0</v>
      </c>
      <c r="O23" s="11">
        <f t="shared" si="1"/>
        <v>0</v>
      </c>
    </row>
    <row r="24" spans="1:17" s="5" customFormat="1" x14ac:dyDescent="0.25">
      <c r="A24" s="11" t="s">
        <v>274</v>
      </c>
      <c r="C24" s="309">
        <v>1</v>
      </c>
      <c r="D24" s="309">
        <v>0</v>
      </c>
      <c r="E24" s="309">
        <v>0</v>
      </c>
      <c r="F24" s="319">
        <v>0</v>
      </c>
      <c r="G24" s="319">
        <v>0</v>
      </c>
      <c r="H24" s="309">
        <v>0</v>
      </c>
      <c r="I24" s="309">
        <v>0</v>
      </c>
      <c r="J24" s="309">
        <v>0</v>
      </c>
      <c r="K24" s="309">
        <v>0</v>
      </c>
      <c r="L24" s="309">
        <v>0</v>
      </c>
      <c r="M24" s="319">
        <v>0</v>
      </c>
      <c r="N24" s="320">
        <v>0</v>
      </c>
      <c r="O24" s="11">
        <f t="shared" si="1"/>
        <v>8.3333333333333329E-2</v>
      </c>
    </row>
    <row r="25" spans="1:17" s="5" customFormat="1" x14ac:dyDescent="0.25">
      <c r="A25" s="11" t="s">
        <v>275</v>
      </c>
      <c r="C25" s="309">
        <v>2</v>
      </c>
      <c r="D25" s="309">
        <v>0</v>
      </c>
      <c r="E25" s="309">
        <v>0</v>
      </c>
      <c r="F25" s="319">
        <v>0</v>
      </c>
      <c r="G25" s="319">
        <v>1</v>
      </c>
      <c r="H25" s="309">
        <v>0</v>
      </c>
      <c r="I25" s="309">
        <v>0</v>
      </c>
      <c r="J25" s="309">
        <v>0</v>
      </c>
      <c r="K25" s="309">
        <v>0</v>
      </c>
      <c r="L25" s="309">
        <v>1</v>
      </c>
      <c r="M25" s="319">
        <v>0</v>
      </c>
      <c r="N25" s="320">
        <v>1</v>
      </c>
      <c r="O25" s="11">
        <f t="shared" si="1"/>
        <v>0.41666666666666669</v>
      </c>
    </row>
    <row r="26" spans="1:17" s="5" customFormat="1" x14ac:dyDescent="0.25">
      <c r="A26" s="11" t="s">
        <v>276</v>
      </c>
      <c r="C26" s="309">
        <v>1</v>
      </c>
      <c r="D26" s="309">
        <v>0</v>
      </c>
      <c r="E26" s="309">
        <v>0</v>
      </c>
      <c r="F26" s="309">
        <v>0</v>
      </c>
      <c r="G26" s="309">
        <v>0</v>
      </c>
      <c r="H26" s="309">
        <v>0</v>
      </c>
      <c r="I26" s="309">
        <v>0</v>
      </c>
      <c r="J26" s="309">
        <v>0</v>
      </c>
      <c r="K26" s="309">
        <v>0</v>
      </c>
      <c r="L26" s="309">
        <v>0</v>
      </c>
      <c r="M26" s="309">
        <v>0</v>
      </c>
      <c r="N26" s="320">
        <v>0</v>
      </c>
      <c r="O26" s="11">
        <f t="shared" si="1"/>
        <v>8.3333333333333329E-2</v>
      </c>
    </row>
    <row r="27" spans="1:17" s="5" customFormat="1" x14ac:dyDescent="0.25">
      <c r="A27" s="11" t="s">
        <v>277</v>
      </c>
      <c r="C27" s="309">
        <v>0</v>
      </c>
      <c r="D27" s="309">
        <v>0</v>
      </c>
      <c r="E27" s="309">
        <v>0</v>
      </c>
      <c r="F27" s="309">
        <v>0</v>
      </c>
      <c r="G27" s="309">
        <v>0</v>
      </c>
      <c r="H27" s="309">
        <v>0</v>
      </c>
      <c r="I27" s="309">
        <v>0</v>
      </c>
      <c r="J27" s="309">
        <v>0</v>
      </c>
      <c r="K27" s="309">
        <v>0</v>
      </c>
      <c r="L27" s="309">
        <v>0</v>
      </c>
      <c r="M27" s="309">
        <v>0</v>
      </c>
      <c r="N27" s="320">
        <v>1</v>
      </c>
      <c r="O27" s="11">
        <f t="shared" si="1"/>
        <v>8.3333333333333329E-2</v>
      </c>
    </row>
    <row r="28" spans="1:17" s="5" customFormat="1" x14ac:dyDescent="0.25">
      <c r="A28" s="200" t="s">
        <v>278</v>
      </c>
      <c r="B28" s="145"/>
      <c r="C28" s="319">
        <v>0</v>
      </c>
      <c r="D28" s="319">
        <v>0</v>
      </c>
      <c r="E28" s="321">
        <v>0</v>
      </c>
      <c r="F28" s="319">
        <v>0</v>
      </c>
      <c r="G28" s="319">
        <v>0</v>
      </c>
      <c r="H28" s="319">
        <v>0</v>
      </c>
      <c r="I28" s="319">
        <v>0</v>
      </c>
      <c r="J28" s="319">
        <v>0</v>
      </c>
      <c r="K28" s="319">
        <v>0</v>
      </c>
      <c r="L28" s="309">
        <v>0</v>
      </c>
      <c r="M28" s="319">
        <v>0</v>
      </c>
      <c r="N28" s="322">
        <v>0</v>
      </c>
      <c r="O28" s="11">
        <f t="shared" si="1"/>
        <v>0</v>
      </c>
      <c r="P28" s="145"/>
      <c r="Q28" s="145"/>
    </row>
    <row r="29" spans="1:17" s="5" customFormat="1" x14ac:dyDescent="0.25">
      <c r="A29" s="30" t="s">
        <v>279</v>
      </c>
      <c r="C29" s="309">
        <v>0</v>
      </c>
      <c r="D29" s="309">
        <v>0</v>
      </c>
      <c r="E29" s="309">
        <v>0</v>
      </c>
      <c r="F29" s="323">
        <v>0</v>
      </c>
      <c r="G29" s="323">
        <v>0</v>
      </c>
      <c r="H29" s="309">
        <v>0</v>
      </c>
      <c r="I29" s="309">
        <v>0</v>
      </c>
      <c r="J29" s="309">
        <v>0</v>
      </c>
      <c r="K29" s="309">
        <v>0</v>
      </c>
      <c r="L29" s="309">
        <v>0</v>
      </c>
      <c r="M29" s="323">
        <v>0</v>
      </c>
      <c r="N29" s="320">
        <v>0</v>
      </c>
      <c r="O29" s="11">
        <f t="shared" si="1"/>
        <v>0</v>
      </c>
    </row>
    <row r="30" spans="1:17" s="5" customFormat="1" x14ac:dyDescent="0.25">
      <c r="A30" s="11" t="s">
        <v>280</v>
      </c>
      <c r="C30" s="309">
        <v>0</v>
      </c>
      <c r="D30" s="309">
        <v>0</v>
      </c>
      <c r="E30" s="309">
        <v>0</v>
      </c>
      <c r="F30" s="319">
        <v>0</v>
      </c>
      <c r="G30" s="319">
        <v>0</v>
      </c>
      <c r="H30" s="309">
        <v>0</v>
      </c>
      <c r="I30" s="309">
        <v>0</v>
      </c>
      <c r="J30" s="309">
        <v>0</v>
      </c>
      <c r="K30" s="309">
        <v>0</v>
      </c>
      <c r="L30" s="309">
        <v>0</v>
      </c>
      <c r="M30" s="319">
        <v>0</v>
      </c>
      <c r="N30" s="320">
        <v>0</v>
      </c>
      <c r="O30" s="11">
        <f t="shared" si="1"/>
        <v>0</v>
      </c>
    </row>
    <row r="31" spans="1:17" s="5" customFormat="1" x14ac:dyDescent="0.25">
      <c r="A31" s="29"/>
      <c r="B31" s="134"/>
      <c r="C31" s="324"/>
      <c r="D31" s="324"/>
      <c r="E31" s="324"/>
      <c r="F31" s="325"/>
      <c r="G31" s="325"/>
      <c r="H31" s="324"/>
      <c r="I31" s="324"/>
      <c r="J31" s="324"/>
      <c r="K31" s="324"/>
      <c r="L31" s="324"/>
      <c r="M31" s="325"/>
      <c r="N31" s="326"/>
      <c r="O31" s="11" t="e">
        <f t="shared" si="1"/>
        <v>#DIV/0!</v>
      </c>
    </row>
    <row r="32" spans="1:17" s="5" customFormat="1" x14ac:dyDescent="0.25">
      <c r="A32" s="31"/>
      <c r="B32" s="201"/>
      <c r="C32" s="28"/>
      <c r="D32" s="28"/>
      <c r="E32" s="28"/>
      <c r="F32" s="197"/>
      <c r="G32" s="197"/>
      <c r="H32" s="28"/>
      <c r="I32" s="28"/>
      <c r="J32" s="28"/>
      <c r="K32" s="28"/>
      <c r="L32" s="28"/>
      <c r="M32" s="197"/>
      <c r="N32" s="199"/>
      <c r="O32" s="11"/>
    </row>
    <row r="33" spans="1:19" s="5" customFormat="1" x14ac:dyDescent="0.25">
      <c r="A33" s="333"/>
      <c r="C33" s="309"/>
      <c r="D33" s="309"/>
      <c r="E33" s="309"/>
      <c r="F33" s="319"/>
      <c r="G33" s="319"/>
      <c r="H33" s="309"/>
      <c r="I33" s="309"/>
      <c r="J33" s="309"/>
      <c r="K33" s="309"/>
      <c r="L33" s="309"/>
      <c r="M33" s="319"/>
      <c r="N33" s="320"/>
      <c r="O33" s="11"/>
    </row>
    <row r="34" spans="1:19" s="5" customFormat="1" x14ac:dyDescent="0.25">
      <c r="A34" s="333"/>
      <c r="C34" s="309"/>
      <c r="D34" s="309"/>
      <c r="E34" s="309"/>
      <c r="F34" s="319"/>
      <c r="G34" s="319"/>
      <c r="H34" s="309"/>
      <c r="I34" s="309"/>
      <c r="J34" s="309"/>
      <c r="K34" s="309"/>
      <c r="L34" s="309"/>
      <c r="M34" s="319"/>
      <c r="N34" s="320"/>
      <c r="O34" s="11"/>
    </row>
    <row r="35" spans="1:19" s="5" customFormat="1" x14ac:dyDescent="0.25">
      <c r="A35" s="333"/>
      <c r="C35" s="309"/>
      <c r="D35" s="309"/>
      <c r="E35" s="309"/>
      <c r="F35" s="319"/>
      <c r="G35" s="319"/>
      <c r="H35" s="309"/>
      <c r="I35" s="309"/>
      <c r="J35" s="309"/>
      <c r="K35" s="309"/>
      <c r="L35" s="309"/>
      <c r="M35" s="319"/>
      <c r="N35" s="320"/>
      <c r="O35" s="11"/>
    </row>
    <row r="36" spans="1:19" s="5" customFormat="1" x14ac:dyDescent="0.25">
      <c r="A36" s="333"/>
      <c r="C36" s="309"/>
      <c r="D36" s="309"/>
      <c r="E36" s="309"/>
      <c r="F36" s="309"/>
      <c r="G36" s="309"/>
      <c r="H36" s="309"/>
      <c r="I36" s="309"/>
      <c r="J36" s="309"/>
      <c r="K36" s="309"/>
      <c r="L36" s="309"/>
      <c r="M36" s="309"/>
      <c r="N36" s="320"/>
      <c r="O36" s="11"/>
    </row>
    <row r="37" spans="1:19" s="5" customFormat="1" x14ac:dyDescent="0.25">
      <c r="A37" s="333"/>
      <c r="C37" s="309"/>
      <c r="D37" s="309"/>
      <c r="E37" s="309"/>
      <c r="F37" s="309"/>
      <c r="G37" s="309"/>
      <c r="H37" s="309"/>
      <c r="I37" s="309"/>
      <c r="J37" s="309"/>
      <c r="K37" s="309"/>
      <c r="L37" s="309"/>
      <c r="M37" s="309"/>
      <c r="N37" s="320"/>
      <c r="O37" s="11"/>
    </row>
    <row r="38" spans="1:19" s="5" customFormat="1" x14ac:dyDescent="0.25">
      <c r="A38" s="200"/>
      <c r="B38" s="145"/>
      <c r="C38" s="319"/>
      <c r="D38" s="319"/>
      <c r="E38" s="321"/>
      <c r="F38" s="319"/>
      <c r="G38" s="319"/>
      <c r="H38" s="319"/>
      <c r="I38" s="319"/>
      <c r="J38" s="319"/>
      <c r="K38" s="319"/>
      <c r="L38" s="309"/>
      <c r="M38" s="319"/>
      <c r="N38" s="322"/>
      <c r="O38" s="11"/>
    </row>
    <row r="39" spans="1:19" s="5" customFormat="1" x14ac:dyDescent="0.25">
      <c r="A39" s="30"/>
      <c r="C39" s="309"/>
      <c r="D39" s="309"/>
      <c r="E39" s="309"/>
      <c r="F39" s="323"/>
      <c r="G39" s="323"/>
      <c r="H39" s="309"/>
      <c r="I39" s="309"/>
      <c r="J39" s="309"/>
      <c r="K39" s="309"/>
      <c r="L39" s="309"/>
      <c r="M39" s="323"/>
      <c r="N39" s="320"/>
      <c r="O39" s="11"/>
    </row>
    <row r="40" spans="1:19" s="5" customFormat="1" x14ac:dyDescent="0.25">
      <c r="A40" s="11"/>
      <c r="C40" s="309"/>
      <c r="D40" s="309"/>
      <c r="E40" s="309"/>
      <c r="F40" s="319"/>
      <c r="G40" s="319"/>
      <c r="H40" s="309"/>
      <c r="I40" s="309"/>
      <c r="J40" s="309"/>
      <c r="K40" s="309"/>
      <c r="L40" s="309"/>
      <c r="M40" s="319"/>
      <c r="N40" s="320"/>
      <c r="O40" s="11"/>
    </row>
    <row r="41" spans="1:19" s="5" customFormat="1" x14ac:dyDescent="0.25">
      <c r="A41" s="29"/>
      <c r="B41" s="134"/>
      <c r="C41" s="324"/>
      <c r="D41" s="324"/>
      <c r="E41" s="324"/>
      <c r="F41" s="325"/>
      <c r="G41" s="325"/>
      <c r="H41" s="324"/>
      <c r="I41" s="324"/>
      <c r="J41" s="324"/>
      <c r="K41" s="324"/>
      <c r="L41" s="324"/>
      <c r="M41" s="325"/>
      <c r="N41" s="326"/>
      <c r="O41" s="11"/>
    </row>
    <row r="42" spans="1:19" s="5" customFormat="1" x14ac:dyDescent="0.25">
      <c r="G42" s="523"/>
      <c r="H42" s="523"/>
      <c r="N42" s="523"/>
      <c r="O42" s="523"/>
    </row>
    <row r="43" spans="1:19" s="5" customFormat="1" x14ac:dyDescent="0.25">
      <c r="G43" s="523"/>
      <c r="H43" s="523"/>
      <c r="N43" s="523"/>
      <c r="O43" s="523"/>
    </row>
    <row r="44" spans="1:19" s="5" customFormat="1" x14ac:dyDescent="0.25"/>
    <row r="45" spans="1:19" s="5" customFormat="1" x14ac:dyDescent="0.25"/>
    <row r="46" spans="1:19" s="5" customFormat="1" x14ac:dyDescent="0.25">
      <c r="A46" s="523"/>
      <c r="B46" s="523"/>
      <c r="C46" s="523"/>
      <c r="D46" s="523"/>
      <c r="E46" s="523"/>
      <c r="F46" s="143"/>
      <c r="G46" s="523"/>
      <c r="H46" s="523"/>
      <c r="I46" s="523"/>
      <c r="J46" s="523"/>
      <c r="K46" s="523"/>
      <c r="L46" s="523"/>
      <c r="N46" s="523"/>
      <c r="O46" s="523"/>
      <c r="P46" s="523"/>
      <c r="Q46" s="523"/>
      <c r="R46" s="523"/>
      <c r="S46" s="523"/>
    </row>
    <row r="47" spans="1:19" s="5" customFormat="1" x14ac:dyDescent="0.25">
      <c r="A47" s="10"/>
      <c r="G47" s="525"/>
      <c r="H47" s="525"/>
      <c r="N47" s="525"/>
      <c r="O47" s="525"/>
    </row>
    <row r="48" spans="1:19" s="5" customFormat="1" x14ac:dyDescent="0.25">
      <c r="G48" s="523"/>
      <c r="H48" s="523"/>
      <c r="N48" s="523"/>
      <c r="O48" s="523"/>
    </row>
    <row r="49" spans="1:19" s="5" customFormat="1" x14ac:dyDescent="0.25">
      <c r="G49" s="523"/>
      <c r="H49" s="523"/>
      <c r="N49" s="523"/>
      <c r="O49" s="523"/>
    </row>
    <row r="50" spans="1:19" s="5" customFormat="1" x14ac:dyDescent="0.25">
      <c r="G50" s="523"/>
      <c r="H50" s="523"/>
      <c r="N50" s="523"/>
      <c r="O50" s="523"/>
    </row>
    <row r="51" spans="1:19" s="5" customFormat="1" x14ac:dyDescent="0.25">
      <c r="G51" s="523"/>
      <c r="H51" s="523"/>
      <c r="N51" s="523"/>
      <c r="O51" s="523"/>
    </row>
    <row r="52" spans="1:19" s="5" customFormat="1" x14ac:dyDescent="0.25">
      <c r="G52" s="523"/>
      <c r="H52" s="523"/>
      <c r="N52" s="523"/>
      <c r="O52" s="523"/>
    </row>
    <row r="53" spans="1:19" s="5" customFormat="1" x14ac:dyDescent="0.25">
      <c r="G53" s="523"/>
      <c r="H53" s="523"/>
      <c r="N53" s="523"/>
      <c r="O53" s="523"/>
    </row>
    <row r="54" spans="1:19" s="5" customFormat="1" x14ac:dyDescent="0.25">
      <c r="G54" s="523"/>
      <c r="H54" s="523"/>
      <c r="N54" s="523"/>
      <c r="O54" s="523"/>
    </row>
    <row r="55" spans="1:19" s="5" customFormat="1" x14ac:dyDescent="0.25">
      <c r="G55" s="523"/>
      <c r="H55" s="523"/>
      <c r="N55" s="523"/>
      <c r="O55" s="523"/>
    </row>
    <row r="56" spans="1:19" s="5" customFormat="1" x14ac:dyDescent="0.25">
      <c r="A56" s="144"/>
      <c r="G56" s="524"/>
      <c r="H56" s="524"/>
      <c r="N56" s="524"/>
      <c r="O56" s="524"/>
    </row>
    <row r="57" spans="1:19" s="5" customFormat="1" x14ac:dyDescent="0.25">
      <c r="G57" s="523"/>
      <c r="H57" s="523"/>
      <c r="N57" s="523"/>
      <c r="O57" s="523"/>
    </row>
    <row r="58" spans="1:19" s="5" customFormat="1" x14ac:dyDescent="0.25">
      <c r="G58" s="523"/>
      <c r="H58" s="523"/>
      <c r="N58" s="523"/>
      <c r="O58" s="523"/>
    </row>
    <row r="59" spans="1:19" s="5" customFormat="1" x14ac:dyDescent="0.25">
      <c r="G59" s="523"/>
      <c r="H59" s="523"/>
      <c r="N59" s="523"/>
      <c r="O59" s="523"/>
    </row>
    <row r="60" spans="1:19" s="5" customFormat="1" x14ac:dyDescent="0.25">
      <c r="G60" s="523"/>
      <c r="H60" s="523"/>
      <c r="N60" s="523"/>
      <c r="O60" s="523"/>
    </row>
    <row r="61" spans="1:19" s="5" customFormat="1" x14ac:dyDescent="0.25">
      <c r="G61" s="523"/>
      <c r="H61" s="523"/>
      <c r="N61" s="523"/>
      <c r="O61" s="523"/>
    </row>
    <row r="62" spans="1:19" s="5" customFormat="1" x14ac:dyDescent="0.25"/>
    <row r="63" spans="1:19" s="5" customFormat="1" x14ac:dyDescent="0.25"/>
    <row r="64" spans="1:19" s="5" customFormat="1" x14ac:dyDescent="0.25">
      <c r="A64" s="523"/>
      <c r="B64" s="523"/>
      <c r="C64" s="523"/>
      <c r="D64" s="523"/>
      <c r="E64" s="523"/>
      <c r="F64" s="143"/>
      <c r="G64" s="523"/>
      <c r="H64" s="523"/>
      <c r="I64" s="523"/>
      <c r="J64" s="523"/>
      <c r="K64" s="523"/>
      <c r="L64" s="523"/>
      <c r="N64" s="523"/>
      <c r="O64" s="523"/>
      <c r="P64" s="523"/>
      <c r="Q64" s="523"/>
      <c r="R64" s="523"/>
      <c r="S64" s="523"/>
    </row>
    <row r="65" spans="1:15" s="5" customFormat="1" x14ac:dyDescent="0.25">
      <c r="A65" s="10"/>
      <c r="G65" s="525"/>
      <c r="H65" s="525"/>
      <c r="N65" s="525"/>
      <c r="O65" s="525"/>
    </row>
    <row r="66" spans="1:15" s="5" customFormat="1" x14ac:dyDescent="0.25">
      <c r="G66" s="523"/>
      <c r="H66" s="523"/>
      <c r="N66" s="523"/>
      <c r="O66" s="523"/>
    </row>
    <row r="67" spans="1:15" s="5" customFormat="1" x14ac:dyDescent="0.25">
      <c r="G67" s="523"/>
      <c r="H67" s="523"/>
      <c r="N67" s="523"/>
      <c r="O67" s="523"/>
    </row>
    <row r="68" spans="1:15" s="5" customFormat="1" x14ac:dyDescent="0.25">
      <c r="G68" s="523"/>
      <c r="H68" s="523"/>
      <c r="N68" s="523"/>
      <c r="O68" s="523"/>
    </row>
    <row r="69" spans="1:15" s="5" customFormat="1" x14ac:dyDescent="0.25">
      <c r="G69" s="523"/>
      <c r="H69" s="523"/>
      <c r="N69" s="523"/>
      <c r="O69" s="523"/>
    </row>
    <row r="70" spans="1:15" s="5" customFormat="1" x14ac:dyDescent="0.25">
      <c r="G70" s="523"/>
      <c r="H70" s="523"/>
      <c r="N70" s="523"/>
      <c r="O70" s="523"/>
    </row>
    <row r="71" spans="1:15" s="5" customFormat="1" x14ac:dyDescent="0.25">
      <c r="G71" s="523"/>
      <c r="H71" s="523"/>
      <c r="N71" s="523"/>
      <c r="O71" s="523"/>
    </row>
    <row r="72" spans="1:15" s="5" customFormat="1" x14ac:dyDescent="0.25">
      <c r="G72" s="523"/>
      <c r="H72" s="523"/>
      <c r="N72" s="523"/>
      <c r="O72" s="523"/>
    </row>
    <row r="73" spans="1:15" s="5" customFormat="1" x14ac:dyDescent="0.25">
      <c r="G73" s="523"/>
      <c r="H73" s="523"/>
      <c r="N73" s="523"/>
      <c r="O73" s="523"/>
    </row>
    <row r="74" spans="1:15" s="5" customFormat="1" x14ac:dyDescent="0.25">
      <c r="A74" s="144"/>
      <c r="G74" s="524"/>
      <c r="H74" s="524"/>
      <c r="N74" s="524"/>
      <c r="O74" s="524"/>
    </row>
    <row r="75" spans="1:15" s="5" customFormat="1" x14ac:dyDescent="0.25">
      <c r="G75" s="523"/>
      <c r="H75" s="523"/>
      <c r="N75" s="523"/>
      <c r="O75" s="523"/>
    </row>
    <row r="76" spans="1:15" s="5" customFormat="1" x14ac:dyDescent="0.25">
      <c r="G76" s="523"/>
      <c r="H76" s="523"/>
      <c r="N76" s="523"/>
      <c r="O76" s="523"/>
    </row>
    <row r="77" spans="1:15" s="5" customFormat="1" x14ac:dyDescent="0.25">
      <c r="G77" s="523"/>
      <c r="H77" s="523"/>
      <c r="N77" s="523"/>
      <c r="O77" s="523"/>
    </row>
    <row r="78" spans="1:15" s="5" customFormat="1" x14ac:dyDescent="0.25">
      <c r="G78" s="523"/>
      <c r="H78" s="523"/>
      <c r="N78" s="523"/>
      <c r="O78" s="523"/>
    </row>
    <row r="79" spans="1:15" s="5" customFormat="1" x14ac:dyDescent="0.25">
      <c r="G79" s="523"/>
      <c r="H79" s="523"/>
      <c r="N79" s="523"/>
      <c r="O79" s="523"/>
    </row>
    <row r="80" spans="1:15" s="5" customFormat="1" x14ac:dyDescent="0.25"/>
    <row r="81" spans="1:12" s="5" customFormat="1" x14ac:dyDescent="0.25"/>
    <row r="82" spans="1:12" s="5" customFormat="1" x14ac:dyDescent="0.25">
      <c r="A82" s="145"/>
      <c r="B82" s="145"/>
      <c r="C82" s="145"/>
      <c r="D82" s="145"/>
      <c r="E82" s="145"/>
      <c r="F82" s="143"/>
      <c r="G82" s="145"/>
      <c r="H82" s="145"/>
      <c r="I82" s="145"/>
      <c r="J82" s="145"/>
      <c r="K82" s="145"/>
      <c r="L82" s="145"/>
    </row>
    <row r="83" spans="1:12" s="5" customFormat="1" x14ac:dyDescent="0.25">
      <c r="A83" s="10"/>
      <c r="G83" s="8"/>
      <c r="H83" s="8"/>
    </row>
    <row r="84" spans="1:12" s="5" customFormat="1" x14ac:dyDescent="0.25">
      <c r="G84" s="145"/>
      <c r="H84" s="145"/>
    </row>
    <row r="85" spans="1:12" s="5" customFormat="1" x14ac:dyDescent="0.25">
      <c r="G85" s="145"/>
      <c r="H85" s="145"/>
    </row>
    <row r="86" spans="1:12" s="5" customFormat="1" x14ac:dyDescent="0.25">
      <c r="G86" s="145"/>
      <c r="H86" s="145"/>
    </row>
    <row r="87" spans="1:12" s="5" customFormat="1" x14ac:dyDescent="0.25">
      <c r="G87" s="145"/>
      <c r="H87" s="145"/>
    </row>
    <row r="88" spans="1:12" s="5" customFormat="1" x14ac:dyDescent="0.25">
      <c r="G88" s="145"/>
      <c r="H88" s="145"/>
    </row>
    <row r="89" spans="1:12" s="5" customFormat="1" x14ac:dyDescent="0.25">
      <c r="G89" s="145"/>
      <c r="H89" s="145"/>
    </row>
    <row r="90" spans="1:12" s="5" customFormat="1" x14ac:dyDescent="0.25">
      <c r="G90" s="145"/>
      <c r="H90" s="145"/>
    </row>
    <row r="91" spans="1:12" s="5" customFormat="1" x14ac:dyDescent="0.25">
      <c r="G91" s="145"/>
      <c r="H91" s="145"/>
    </row>
    <row r="92" spans="1:12" s="5" customFormat="1" x14ac:dyDescent="0.25">
      <c r="A92" s="144"/>
      <c r="G92" s="146"/>
      <c r="H92" s="146"/>
    </row>
    <row r="93" spans="1:12" s="5" customFormat="1" x14ac:dyDescent="0.25">
      <c r="G93" s="145"/>
      <c r="H93" s="145"/>
    </row>
    <row r="94" spans="1:12" s="5" customFormat="1" x14ac:dyDescent="0.25">
      <c r="G94" s="145"/>
      <c r="H94" s="145"/>
    </row>
    <row r="95" spans="1:12" s="5" customFormat="1" x14ac:dyDescent="0.25">
      <c r="G95" s="145"/>
      <c r="H95" s="145"/>
    </row>
    <row r="96" spans="1:12" s="5" customFormat="1" x14ac:dyDescent="0.25">
      <c r="G96" s="145"/>
      <c r="H96" s="145"/>
    </row>
    <row r="97" spans="1:12" s="5" customFormat="1" x14ac:dyDescent="0.25">
      <c r="G97" s="145"/>
      <c r="H97" s="145"/>
    </row>
    <row r="98" spans="1:12" s="5" customFormat="1" x14ac:dyDescent="0.25"/>
    <row r="99" spans="1:12" s="5" customFormat="1" x14ac:dyDescent="0.25"/>
    <row r="100" spans="1:12" s="5" customFormat="1" x14ac:dyDescent="0.25">
      <c r="A100" s="523"/>
      <c r="B100" s="523"/>
      <c r="C100" s="523"/>
      <c r="D100" s="523"/>
      <c r="E100" s="523"/>
      <c r="F100" s="143"/>
      <c r="G100" s="523"/>
      <c r="H100" s="523"/>
      <c r="I100" s="523"/>
      <c r="J100" s="523"/>
      <c r="K100" s="523"/>
      <c r="L100" s="523"/>
    </row>
    <row r="101" spans="1:12" s="5" customFormat="1" x14ac:dyDescent="0.25">
      <c r="A101" s="10"/>
      <c r="G101" s="525"/>
      <c r="H101" s="525"/>
    </row>
    <row r="102" spans="1:12" s="5" customFormat="1" x14ac:dyDescent="0.25">
      <c r="G102" s="523"/>
      <c r="H102" s="523"/>
    </row>
    <row r="103" spans="1:12" s="5" customFormat="1" x14ac:dyDescent="0.25">
      <c r="G103" s="523"/>
      <c r="H103" s="523"/>
    </row>
    <row r="104" spans="1:12" s="5" customFormat="1" x14ac:dyDescent="0.25">
      <c r="G104" s="523"/>
      <c r="H104" s="523"/>
    </row>
    <row r="105" spans="1:12" s="5" customFormat="1" x14ac:dyDescent="0.25">
      <c r="G105" s="523"/>
      <c r="H105" s="523"/>
    </row>
    <row r="106" spans="1:12" s="5" customFormat="1" x14ac:dyDescent="0.25">
      <c r="G106" s="523"/>
      <c r="H106" s="523"/>
    </row>
    <row r="107" spans="1:12" s="5" customFormat="1" x14ac:dyDescent="0.25">
      <c r="G107" s="523"/>
      <c r="H107" s="523"/>
    </row>
    <row r="108" spans="1:12" s="5" customFormat="1" x14ac:dyDescent="0.25">
      <c r="G108" s="523"/>
      <c r="H108" s="523"/>
    </row>
    <row r="109" spans="1:12" s="5" customFormat="1" x14ac:dyDescent="0.25">
      <c r="G109" s="523"/>
      <c r="H109" s="523"/>
    </row>
    <row r="110" spans="1:12" s="5" customFormat="1" x14ac:dyDescent="0.25">
      <c r="A110" s="144"/>
      <c r="G110" s="524"/>
      <c r="H110" s="524"/>
    </row>
    <row r="111" spans="1:12" s="5" customFormat="1" x14ac:dyDescent="0.25">
      <c r="G111" s="523"/>
      <c r="H111" s="523"/>
    </row>
    <row r="112" spans="1:12" s="5" customFormat="1" x14ac:dyDescent="0.25">
      <c r="G112" s="523"/>
      <c r="H112" s="523"/>
    </row>
    <row r="113" spans="1:12" s="5" customFormat="1" x14ac:dyDescent="0.25">
      <c r="G113" s="523"/>
      <c r="H113" s="523"/>
    </row>
    <row r="114" spans="1:12" s="5" customFormat="1" x14ac:dyDescent="0.25">
      <c r="G114" s="523"/>
      <c r="H114" s="523"/>
    </row>
    <row r="115" spans="1:12" s="5" customFormat="1" x14ac:dyDescent="0.25">
      <c r="G115" s="523"/>
      <c r="H115" s="523"/>
    </row>
    <row r="116" spans="1:12" s="5" customFormat="1" x14ac:dyDescent="0.25"/>
    <row r="117" spans="1:12" s="5" customFormat="1" x14ac:dyDescent="0.25"/>
    <row r="118" spans="1:12" s="5" customFormat="1" x14ac:dyDescent="0.25">
      <c r="A118" s="523"/>
      <c r="B118" s="523"/>
      <c r="C118" s="523"/>
      <c r="D118" s="523"/>
      <c r="E118" s="523"/>
      <c r="F118" s="143"/>
      <c r="G118" s="523"/>
      <c r="H118" s="523"/>
      <c r="I118" s="523"/>
      <c r="J118" s="523"/>
      <c r="K118" s="523"/>
      <c r="L118" s="523"/>
    </row>
    <row r="119" spans="1:12" s="5" customFormat="1" x14ac:dyDescent="0.25">
      <c r="A119" s="10"/>
      <c r="G119" s="525"/>
      <c r="H119" s="525"/>
    </row>
    <row r="120" spans="1:12" s="5" customFormat="1" x14ac:dyDescent="0.25">
      <c r="G120" s="523"/>
      <c r="H120" s="523"/>
    </row>
    <row r="121" spans="1:12" s="5" customFormat="1" x14ac:dyDescent="0.25">
      <c r="G121" s="523"/>
      <c r="H121" s="523"/>
    </row>
    <row r="122" spans="1:12" s="5" customFormat="1" x14ac:dyDescent="0.25">
      <c r="G122" s="523"/>
      <c r="H122" s="523"/>
    </row>
    <row r="123" spans="1:12" s="5" customFormat="1" x14ac:dyDescent="0.25">
      <c r="G123" s="523"/>
      <c r="H123" s="523"/>
    </row>
    <row r="124" spans="1:12" s="5" customFormat="1" x14ac:dyDescent="0.25">
      <c r="G124" s="523"/>
      <c r="H124" s="523"/>
    </row>
    <row r="125" spans="1:12" s="5" customFormat="1" x14ac:dyDescent="0.25">
      <c r="G125" s="523"/>
      <c r="H125" s="523"/>
    </row>
    <row r="126" spans="1:12" s="5" customFormat="1" x14ac:dyDescent="0.25">
      <c r="G126" s="523"/>
      <c r="H126" s="523"/>
    </row>
    <row r="127" spans="1:12" s="5" customFormat="1" x14ac:dyDescent="0.25">
      <c r="G127" s="523"/>
      <c r="H127" s="523"/>
    </row>
    <row r="128" spans="1:12" s="5" customFormat="1" x14ac:dyDescent="0.25">
      <c r="A128" s="144"/>
      <c r="G128" s="524"/>
      <c r="H128" s="524"/>
    </row>
    <row r="129" spans="1:13" s="5" customFormat="1" x14ac:dyDescent="0.25">
      <c r="G129" s="523"/>
      <c r="H129" s="523"/>
    </row>
    <row r="130" spans="1:13" s="5" customFormat="1" x14ac:dyDescent="0.25">
      <c r="G130" s="523"/>
      <c r="H130" s="523"/>
    </row>
    <row r="131" spans="1:13" x14ac:dyDescent="0.25">
      <c r="A131" s="5"/>
      <c r="B131" s="5"/>
      <c r="C131" s="5"/>
      <c r="D131" s="5"/>
      <c r="E131" s="5"/>
      <c r="F131" s="5"/>
      <c r="G131" s="523"/>
      <c r="H131" s="523"/>
      <c r="I131" s="5"/>
      <c r="J131" s="5"/>
      <c r="K131" s="5"/>
      <c r="L131" s="5"/>
      <c r="M131" s="5"/>
    </row>
    <row r="132" spans="1:13" x14ac:dyDescent="0.25">
      <c r="A132" s="5"/>
      <c r="B132" s="5"/>
      <c r="C132" s="5"/>
      <c r="D132" s="5"/>
      <c r="E132" s="5"/>
      <c r="F132" s="5"/>
      <c r="G132" s="523"/>
      <c r="H132" s="523"/>
      <c r="I132" s="5"/>
      <c r="J132" s="5"/>
      <c r="K132" s="5"/>
      <c r="L132" s="5"/>
      <c r="M132" s="5"/>
    </row>
    <row r="133" spans="1:13" x14ac:dyDescent="0.25">
      <c r="A133" s="5"/>
      <c r="B133" s="5"/>
      <c r="C133" s="5"/>
      <c r="D133" s="5"/>
      <c r="E133" s="5"/>
      <c r="F133" s="5"/>
      <c r="G133" s="523"/>
      <c r="H133" s="523"/>
      <c r="I133" s="5"/>
      <c r="J133" s="5"/>
      <c r="K133" s="5"/>
      <c r="L133" s="5"/>
      <c r="M133" s="5"/>
    </row>
    <row r="134" spans="1:13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 x14ac:dyDescent="0.25">
      <c r="A136" s="523"/>
      <c r="B136" s="523"/>
      <c r="C136" s="523"/>
      <c r="D136" s="523"/>
      <c r="E136" s="523"/>
      <c r="F136" s="143"/>
      <c r="G136" s="523"/>
      <c r="H136" s="523"/>
      <c r="I136" s="523"/>
      <c r="J136" s="523"/>
      <c r="K136" s="523"/>
      <c r="L136" s="523"/>
      <c r="M136" s="5"/>
    </row>
    <row r="137" spans="1:13" x14ac:dyDescent="0.25">
      <c r="A137" s="10"/>
      <c r="B137" s="5"/>
      <c r="C137" s="5"/>
      <c r="D137" s="5"/>
      <c r="E137" s="5"/>
      <c r="F137" s="5"/>
      <c r="G137" s="525"/>
      <c r="H137" s="525"/>
      <c r="I137" s="5"/>
      <c r="J137" s="5"/>
      <c r="K137" s="5"/>
      <c r="L137" s="5"/>
      <c r="M137" s="5"/>
    </row>
    <row r="138" spans="1:13" x14ac:dyDescent="0.25">
      <c r="A138" s="5"/>
      <c r="B138" s="5"/>
      <c r="C138" s="5"/>
      <c r="D138" s="5"/>
      <c r="E138" s="5"/>
      <c r="F138" s="5"/>
      <c r="G138" s="523"/>
      <c r="H138" s="523"/>
      <c r="I138" s="5"/>
      <c r="J138" s="5"/>
      <c r="K138" s="5"/>
      <c r="L138" s="5"/>
      <c r="M138" s="5"/>
    </row>
    <row r="139" spans="1:13" x14ac:dyDescent="0.25">
      <c r="A139" s="5"/>
      <c r="B139" s="5"/>
      <c r="C139" s="5"/>
      <c r="D139" s="5"/>
      <c r="E139" s="5"/>
      <c r="F139" s="5"/>
      <c r="G139" s="523"/>
      <c r="H139" s="523"/>
      <c r="I139" s="5"/>
      <c r="J139" s="5"/>
      <c r="K139" s="5"/>
      <c r="L139" s="5"/>
      <c r="M139" s="5"/>
    </row>
    <row r="140" spans="1:13" x14ac:dyDescent="0.25">
      <c r="A140" s="5"/>
      <c r="B140" s="5"/>
      <c r="C140" s="5"/>
      <c r="D140" s="5"/>
      <c r="E140" s="5"/>
      <c r="F140" s="5"/>
      <c r="G140" s="523"/>
      <c r="H140" s="523"/>
      <c r="I140" s="5"/>
      <c r="J140" s="5"/>
      <c r="K140" s="5"/>
      <c r="L140" s="5"/>
      <c r="M140" s="5"/>
    </row>
    <row r="141" spans="1:13" x14ac:dyDescent="0.25">
      <c r="A141" s="5"/>
      <c r="B141" s="5"/>
      <c r="C141" s="5"/>
      <c r="D141" s="5"/>
      <c r="E141" s="5"/>
      <c r="F141" s="5"/>
      <c r="G141" s="523"/>
      <c r="H141" s="523"/>
      <c r="I141" s="5"/>
      <c r="J141" s="5"/>
      <c r="K141" s="5"/>
      <c r="L141" s="5"/>
      <c r="M141" s="5"/>
    </row>
    <row r="142" spans="1:13" x14ac:dyDescent="0.25">
      <c r="A142" s="5"/>
      <c r="B142" s="5"/>
      <c r="C142" s="5"/>
      <c r="D142" s="5"/>
      <c r="E142" s="5"/>
      <c r="F142" s="5"/>
      <c r="G142" s="523"/>
      <c r="H142" s="523"/>
      <c r="I142" s="5"/>
      <c r="J142" s="5"/>
      <c r="K142" s="5"/>
      <c r="L142" s="5"/>
      <c r="M142" s="5"/>
    </row>
    <row r="143" spans="1:13" x14ac:dyDescent="0.25">
      <c r="A143" s="5"/>
      <c r="B143" s="5"/>
      <c r="C143" s="5"/>
      <c r="D143" s="5"/>
      <c r="E143" s="5"/>
      <c r="F143" s="5"/>
      <c r="G143" s="523"/>
      <c r="H143" s="523"/>
      <c r="I143" s="5"/>
      <c r="J143" s="5"/>
      <c r="K143" s="5"/>
      <c r="L143" s="5"/>
      <c r="M143" s="5"/>
    </row>
    <row r="144" spans="1:13" x14ac:dyDescent="0.25">
      <c r="A144" s="5"/>
      <c r="B144" s="5"/>
      <c r="C144" s="5"/>
      <c r="D144" s="5"/>
      <c r="E144" s="5"/>
      <c r="F144" s="5"/>
      <c r="G144" s="523"/>
      <c r="H144" s="523"/>
      <c r="I144" s="5"/>
      <c r="J144" s="5"/>
      <c r="K144" s="5"/>
      <c r="L144" s="5"/>
      <c r="M144" s="5"/>
    </row>
    <row r="145" spans="1:13" x14ac:dyDescent="0.25">
      <c r="A145" s="5"/>
      <c r="B145" s="5"/>
      <c r="C145" s="5"/>
      <c r="D145" s="5"/>
      <c r="E145" s="5"/>
      <c r="F145" s="5"/>
      <c r="G145" s="523"/>
      <c r="H145" s="523"/>
      <c r="I145" s="5"/>
      <c r="J145" s="5"/>
      <c r="K145" s="5"/>
      <c r="L145" s="5"/>
      <c r="M145" s="5"/>
    </row>
    <row r="146" spans="1:13" x14ac:dyDescent="0.25">
      <c r="A146" s="144"/>
      <c r="B146" s="5"/>
      <c r="C146" s="5"/>
      <c r="D146" s="5"/>
      <c r="E146" s="5"/>
      <c r="F146" s="5"/>
      <c r="G146" s="524"/>
      <c r="H146" s="524"/>
      <c r="I146" s="5"/>
      <c r="J146" s="5"/>
      <c r="K146" s="5"/>
      <c r="L146" s="5"/>
      <c r="M146" s="5"/>
    </row>
    <row r="147" spans="1:13" x14ac:dyDescent="0.25">
      <c r="A147" s="5"/>
      <c r="B147" s="5"/>
      <c r="C147" s="5"/>
      <c r="D147" s="5"/>
      <c r="E147" s="5"/>
      <c r="F147" s="5"/>
      <c r="G147" s="523"/>
      <c r="H147" s="523"/>
      <c r="I147" s="5"/>
      <c r="J147" s="5"/>
      <c r="K147" s="5"/>
      <c r="L147" s="5"/>
      <c r="M147" s="5"/>
    </row>
    <row r="148" spans="1:13" x14ac:dyDescent="0.25">
      <c r="A148" s="5"/>
      <c r="B148" s="5"/>
      <c r="C148" s="5"/>
      <c r="D148" s="5"/>
      <c r="E148" s="5"/>
      <c r="F148" s="5"/>
      <c r="G148" s="523"/>
      <c r="H148" s="523"/>
      <c r="I148" s="5"/>
      <c r="J148" s="5"/>
      <c r="K148" s="5"/>
      <c r="L148" s="5"/>
      <c r="M148" s="5"/>
    </row>
    <row r="149" spans="1:13" x14ac:dyDescent="0.25">
      <c r="A149" s="5"/>
      <c r="B149" s="5"/>
      <c r="C149" s="5"/>
      <c r="D149" s="5"/>
      <c r="E149" s="5"/>
      <c r="F149" s="5"/>
      <c r="G149" s="523"/>
      <c r="H149" s="523"/>
      <c r="I149" s="5"/>
      <c r="J149" s="5"/>
      <c r="K149" s="5"/>
      <c r="L149" s="5"/>
      <c r="M149" s="5"/>
    </row>
    <row r="150" spans="1:13" x14ac:dyDescent="0.25">
      <c r="A150" s="5"/>
      <c r="B150" s="5"/>
      <c r="C150" s="5"/>
      <c r="D150" s="5"/>
      <c r="E150" s="5"/>
      <c r="F150" s="5"/>
      <c r="G150" s="523"/>
      <c r="H150" s="523"/>
      <c r="I150" s="5"/>
      <c r="J150" s="5"/>
      <c r="K150" s="5"/>
      <c r="L150" s="5"/>
      <c r="M150" s="5"/>
    </row>
    <row r="151" spans="1:13" x14ac:dyDescent="0.25">
      <c r="A151" s="5"/>
      <c r="B151" s="5"/>
      <c r="C151" s="5"/>
      <c r="D151" s="5"/>
      <c r="E151" s="5"/>
      <c r="F151" s="5"/>
      <c r="G151" s="523"/>
      <c r="H151" s="523"/>
      <c r="I151" s="5"/>
      <c r="J151" s="5"/>
      <c r="K151" s="5"/>
      <c r="L151" s="5"/>
      <c r="M151" s="5"/>
    </row>
    <row r="152" spans="1:13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</sheetData>
  <sheetProtection algorithmName="SHA-512" hashValue="kAGwmQuacnJUi0+0PsHoXNwTPaG6qYJbgjcPMLCTwoPzFGHRzhKYQZUVEmTmoQFVERNk+G8RiXZiEMxIBnehNQ==" saltValue="4UDO7mzRgiyJH/w6Ft1FpQ==" spinCount="100000" sheet="1" objects="1" scenarios="1"/>
  <mergeCells count="124">
    <mergeCell ref="A6:B6"/>
    <mergeCell ref="A7:B7"/>
    <mergeCell ref="A2:B4"/>
    <mergeCell ref="G42:H42"/>
    <mergeCell ref="G49:H49"/>
    <mergeCell ref="G50:H50"/>
    <mergeCell ref="G51:H51"/>
    <mergeCell ref="G52:H52"/>
    <mergeCell ref="G53:H53"/>
    <mergeCell ref="G43:H43"/>
    <mergeCell ref="A46:E46"/>
    <mergeCell ref="G46:L46"/>
    <mergeCell ref="G47:H47"/>
    <mergeCell ref="G48:H48"/>
    <mergeCell ref="G59:H59"/>
    <mergeCell ref="G60:H60"/>
    <mergeCell ref="G61:H61"/>
    <mergeCell ref="A64:E64"/>
    <mergeCell ref="G64:L64"/>
    <mergeCell ref="G54:H54"/>
    <mergeCell ref="G55:H55"/>
    <mergeCell ref="G56:H56"/>
    <mergeCell ref="G57:H57"/>
    <mergeCell ref="G58:H58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102:H102"/>
    <mergeCell ref="G103:H103"/>
    <mergeCell ref="G104:H104"/>
    <mergeCell ref="G105:H105"/>
    <mergeCell ref="G106:H106"/>
    <mergeCell ref="A100:E100"/>
    <mergeCell ref="G100:L100"/>
    <mergeCell ref="G101:H101"/>
    <mergeCell ref="G75:H75"/>
    <mergeCell ref="G76:H76"/>
    <mergeCell ref="G77:H77"/>
    <mergeCell ref="G78:H78"/>
    <mergeCell ref="G79:H79"/>
    <mergeCell ref="G122:H122"/>
    <mergeCell ref="G123:H123"/>
    <mergeCell ref="G112:H112"/>
    <mergeCell ref="G113:H113"/>
    <mergeCell ref="G114:H114"/>
    <mergeCell ref="G115:H115"/>
    <mergeCell ref="A118:E118"/>
    <mergeCell ref="G118:L118"/>
    <mergeCell ref="G107:H107"/>
    <mergeCell ref="G108:H108"/>
    <mergeCell ref="G109:H109"/>
    <mergeCell ref="G110:H110"/>
    <mergeCell ref="G111:H111"/>
    <mergeCell ref="A136:E136"/>
    <mergeCell ref="G136:L136"/>
    <mergeCell ref="G137:H137"/>
    <mergeCell ref="G138:H138"/>
    <mergeCell ref="G139:H139"/>
    <mergeCell ref="G129:H129"/>
    <mergeCell ref="G130:H130"/>
    <mergeCell ref="G131:H131"/>
    <mergeCell ref="G132:H132"/>
    <mergeCell ref="G133:H133"/>
    <mergeCell ref="G150:H150"/>
    <mergeCell ref="G151:H151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24:H124"/>
    <mergeCell ref="G125:H125"/>
    <mergeCell ref="G126:H126"/>
    <mergeCell ref="G127:H127"/>
    <mergeCell ref="G128:H128"/>
    <mergeCell ref="G119:H119"/>
    <mergeCell ref="G120:H120"/>
    <mergeCell ref="G121:H121"/>
    <mergeCell ref="N42:O42"/>
    <mergeCell ref="N43:O43"/>
    <mergeCell ref="N46:S46"/>
    <mergeCell ref="N47:O47"/>
    <mergeCell ref="N53:O53"/>
    <mergeCell ref="N54:O54"/>
    <mergeCell ref="N55:O55"/>
    <mergeCell ref="N56:O56"/>
    <mergeCell ref="N57:O57"/>
    <mergeCell ref="N48:O48"/>
    <mergeCell ref="N49:O49"/>
    <mergeCell ref="N50:O50"/>
    <mergeCell ref="N51:O51"/>
    <mergeCell ref="N52:O52"/>
    <mergeCell ref="N65:O65"/>
    <mergeCell ref="N66:O66"/>
    <mergeCell ref="N67:O67"/>
    <mergeCell ref="N68:O68"/>
    <mergeCell ref="N69:O69"/>
    <mergeCell ref="N58:O58"/>
    <mergeCell ref="N59:O59"/>
    <mergeCell ref="N60:O60"/>
    <mergeCell ref="N61:O61"/>
    <mergeCell ref="N64:S64"/>
    <mergeCell ref="N75:O75"/>
    <mergeCell ref="N76:O76"/>
    <mergeCell ref="N77:O77"/>
    <mergeCell ref="N78:O78"/>
    <mergeCell ref="N79:O79"/>
    <mergeCell ref="N70:O70"/>
    <mergeCell ref="N71:O71"/>
    <mergeCell ref="N72:O72"/>
    <mergeCell ref="N73:O73"/>
    <mergeCell ref="N74:O7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0</xdr:col>
                    <xdr:colOff>552450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impar_dados_técnicos_mensais">
                <anchor moveWithCells="1" sizeWithCells="1">
                  <from>
                    <xdr:col>0</xdr:col>
                    <xdr:colOff>571500</xdr:colOff>
                    <xdr:row>0</xdr:row>
                    <xdr:rowOff>19050</xdr:rowOff>
                  </from>
                  <to>
                    <xdr:col>0</xdr:col>
                    <xdr:colOff>1114425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2:P57"/>
  <sheetViews>
    <sheetView topLeftCell="B13" zoomScaleNormal="100" workbookViewId="0">
      <pane xSplit="2" topLeftCell="D1" activePane="topRight" state="frozen"/>
      <selection activeCell="B3" sqref="B3"/>
      <selection pane="topRight" activeCell="H39" sqref="H39"/>
    </sheetView>
  </sheetViews>
  <sheetFormatPr defaultColWidth="9.140625" defaultRowHeight="15" x14ac:dyDescent="0.25"/>
  <cols>
    <col min="1" max="2" width="5.5703125" style="234" customWidth="1"/>
    <col min="3" max="3" width="63.140625" style="234" customWidth="1"/>
    <col min="4" max="4" width="11" style="264" customWidth="1"/>
    <col min="5" max="8" width="14.7109375" style="234" customWidth="1"/>
    <col min="9" max="16" width="14.85546875" style="234" customWidth="1"/>
    <col min="17" max="16384" width="9.140625" style="234"/>
  </cols>
  <sheetData>
    <row r="2" spans="1:16" x14ac:dyDescent="0.25">
      <c r="A2" s="530" t="s">
        <v>209</v>
      </c>
      <c r="B2" s="531"/>
      <c r="C2" s="531"/>
      <c r="D2" s="233"/>
      <c r="E2" s="233"/>
    </row>
    <row r="3" spans="1:16" x14ac:dyDescent="0.25">
      <c r="A3" s="530"/>
      <c r="B3" s="531"/>
      <c r="C3" s="531"/>
      <c r="D3" s="233"/>
      <c r="E3" s="233"/>
    </row>
    <row r="4" spans="1:16" ht="15.75" thickBot="1" x14ac:dyDescent="0.3">
      <c r="A4" s="532"/>
      <c r="B4" s="533"/>
      <c r="C4" s="533"/>
      <c r="D4" s="235"/>
      <c r="E4" s="235"/>
    </row>
    <row r="5" spans="1:16" s="241" customFormat="1" x14ac:dyDescent="0.25">
      <c r="A5" s="236" t="s">
        <v>1</v>
      </c>
      <c r="B5" s="236" t="s">
        <v>1</v>
      </c>
      <c r="C5" s="237" t="s">
        <v>2</v>
      </c>
      <c r="D5" s="238" t="s">
        <v>3</v>
      </c>
      <c r="E5" s="239" t="s">
        <v>4</v>
      </c>
      <c r="F5" s="240" t="s">
        <v>5</v>
      </c>
      <c r="G5" s="240" t="s">
        <v>6</v>
      </c>
      <c r="H5" s="240" t="s">
        <v>7</v>
      </c>
      <c r="I5" s="240" t="s">
        <v>8</v>
      </c>
      <c r="J5" s="240" t="s">
        <v>41</v>
      </c>
      <c r="K5" s="240" t="s">
        <v>42</v>
      </c>
      <c r="L5" s="240" t="s">
        <v>53</v>
      </c>
      <c r="M5" s="240" t="s">
        <v>44</v>
      </c>
      <c r="N5" s="240" t="s">
        <v>45</v>
      </c>
      <c r="O5" s="240" t="s">
        <v>46</v>
      </c>
      <c r="P5" s="240" t="s">
        <v>47</v>
      </c>
    </row>
    <row r="6" spans="1:16" x14ac:dyDescent="0.25">
      <c r="A6" s="242">
        <v>2</v>
      </c>
      <c r="B6" s="242">
        <v>1</v>
      </c>
      <c r="C6" s="243" t="s">
        <v>17</v>
      </c>
      <c r="D6" s="244" t="s">
        <v>27</v>
      </c>
      <c r="E6" s="147">
        <f>'DADOS ECONÔMICOS MENSAIS'!D8</f>
        <v>1934.9989499999999</v>
      </c>
      <c r="F6" s="147">
        <f>'DADOS ECONÔMICOS MENSAIS'!G8</f>
        <v>3199.9989999999998</v>
      </c>
      <c r="G6" s="147">
        <f>'DADOS ECONÔMICOS MENSAIS'!J8</f>
        <v>2390.999358</v>
      </c>
      <c r="H6" s="147">
        <f>'DADOS ECONÔMICOS MENSAIS'!M8</f>
        <v>2074.9949999999999</v>
      </c>
      <c r="I6" s="147">
        <f>'DADOS ECONÔMICOS MENSAIS'!P8</f>
        <v>1835.6585520000001</v>
      </c>
      <c r="J6" s="147">
        <f>'DADOS ECONÔMICOS MENSAIS'!S8</f>
        <v>2258.9990499999999</v>
      </c>
      <c r="K6" s="147">
        <f>'DADOS ECONÔMICOS MENSAIS'!V8</f>
        <v>2015.9985450000001</v>
      </c>
      <c r="L6" s="147">
        <f>'DADOS ECONÔMICOS MENSAIS'!Y8</f>
        <v>1777.348428</v>
      </c>
      <c r="M6" s="147">
        <f>'DADOS ECONÔMICOS MENSAIS'!AB8</f>
        <v>1639.1999057999999</v>
      </c>
      <c r="N6" s="147">
        <f>'DADOS ECONÔMICOS MENSAIS'!AE8</f>
        <v>1485.899772</v>
      </c>
      <c r="O6" s="147">
        <f>'DADOS ECONÔMICOS MENSAIS'!AH8</f>
        <v>2584.6499781999996</v>
      </c>
      <c r="P6" s="147">
        <f>'DADOS ECONÔMICOS MENSAIS'!AK8</f>
        <v>2874.8979159999999</v>
      </c>
    </row>
    <row r="7" spans="1:16" x14ac:dyDescent="0.25">
      <c r="A7" s="242">
        <v>3</v>
      </c>
      <c r="B7" s="242">
        <v>2</v>
      </c>
      <c r="C7" s="243" t="s">
        <v>310</v>
      </c>
      <c r="D7" s="244" t="s">
        <v>18</v>
      </c>
      <c r="E7" s="147">
        <f>E6/'DADOS TÉCNICOS MENSAIS'!C7</f>
        <v>1.0130884554973822</v>
      </c>
      <c r="F7" s="147">
        <f>F6/'DADOS TÉCNICOS MENSAIS'!D7</f>
        <v>1.3913039130434781</v>
      </c>
      <c r="G7" s="147">
        <f>G6/'DADOS TÉCNICOS MENSAIS'!E7</f>
        <v>1.0148554151103566</v>
      </c>
      <c r="H7" s="147">
        <f>H6/'DADOS TÉCNICOS MENSAIS'!F7</f>
        <v>1.0171544117647058</v>
      </c>
      <c r="I7" s="147">
        <f>I6/'DADOS TÉCNICOS MENSAIS'!G7</f>
        <v>1.038856</v>
      </c>
      <c r="J7" s="147">
        <f>J6/'DADOS TÉCNICOS MENSAIS'!H7</f>
        <v>1.0157369829136691</v>
      </c>
      <c r="K7" s="147">
        <f>K6/'DADOS TÉCNICOS MENSAIS'!I7</f>
        <v>1.0582669527559057</v>
      </c>
      <c r="L7" s="147">
        <f>L6/'DADOS TÉCNICOS MENSAIS'!J7</f>
        <v>1.0473473352975839</v>
      </c>
      <c r="M7" s="147">
        <f>M6/'DADOS TÉCNICOS MENSAIS'!K7</f>
        <v>1.0616579700777202</v>
      </c>
      <c r="N7" s="147">
        <f>N6/'DADOS TÉCNICOS MENSAIS'!L7</f>
        <v>1.0628753733905578</v>
      </c>
      <c r="O7" s="147">
        <f>O6/'DADOS TÉCNICOS MENSAIS'!M7</f>
        <v>0.91556853637973779</v>
      </c>
      <c r="P7" s="147" t="e">
        <f>P6/'DADOS TÉCNICOS MENSAIS'!N7</f>
        <v>#DIV/0!</v>
      </c>
    </row>
    <row r="8" spans="1:16" x14ac:dyDescent="0.25">
      <c r="A8" s="242">
        <v>7</v>
      </c>
      <c r="B8" s="242">
        <v>3</v>
      </c>
      <c r="C8" s="243" t="s">
        <v>300</v>
      </c>
      <c r="D8" s="244" t="s">
        <v>27</v>
      </c>
      <c r="E8" s="147">
        <f>'DADOS ECONÔMICOS MENSAIS'!D95*INVENTÁRIO!$J$14</f>
        <v>1238.9764800000003</v>
      </c>
      <c r="F8" s="147">
        <f>'DADOS ECONÔMICOS MENSAIS'!G95*INVENTÁRIO!$J$14</f>
        <v>1529.9636</v>
      </c>
      <c r="G8" s="147">
        <f>'DADOS ECONÔMICOS MENSAIS'!J95*INVENTÁRIO!$J$14</f>
        <v>1133.92</v>
      </c>
      <c r="H8" s="147">
        <f>'DADOS ECONÔMICOS MENSAIS'!M95*INVENTÁRIO!$J$14</f>
        <v>1351.5200000000002</v>
      </c>
      <c r="I8" s="147">
        <f>'DADOS ECONÔMICOS MENSAIS'!P95*INVENTÁRIO!$J$14</f>
        <v>1158.4000000000001</v>
      </c>
      <c r="J8" s="147">
        <f>'DADOS ECONÔMICOS MENSAIS'!S95*INVENTÁRIO!$J$14</f>
        <v>1817.0174</v>
      </c>
      <c r="K8" s="147">
        <f>'DADOS ECONÔMICOS MENSAIS'!V95*INVENTÁRIO!$J$14</f>
        <v>1367.64</v>
      </c>
      <c r="L8" s="147">
        <f>'DADOS ECONÔMICOS MENSAIS'!Y95*INVENTÁRIO!$J$14</f>
        <v>1318</v>
      </c>
      <c r="M8" s="147">
        <f>'DADOS ECONÔMICOS MENSAIS'!AB95*INVENTÁRIO!$J$14</f>
        <v>1300.3708344000001</v>
      </c>
      <c r="N8" s="147">
        <f>'DADOS ECONÔMICOS MENSAIS'!AE95*INVENTÁRIO!$J$14</f>
        <v>18979.392648000001</v>
      </c>
      <c r="O8" s="147">
        <f>'DADOS ECONÔMICOS MENSAIS'!AH95*INVENTÁRIO!$J$14</f>
        <v>2239.8832367999998</v>
      </c>
      <c r="P8" s="147">
        <f>'DADOS ECONÔMICOS MENSAIS'!AK95*INVENTÁRIO!$J$14</f>
        <v>2914.4776080000006</v>
      </c>
    </row>
    <row r="9" spans="1:16" x14ac:dyDescent="0.25">
      <c r="A9" s="242">
        <v>8</v>
      </c>
      <c r="B9" s="242">
        <v>4</v>
      </c>
      <c r="C9" s="243" t="s">
        <v>301</v>
      </c>
      <c r="D9" s="244" t="s">
        <v>27</v>
      </c>
      <c r="E9" s="147">
        <f>E8+E33+(INVENTÁRIO!$J$15/12)</f>
        <v>5561.2624793333343</v>
      </c>
      <c r="F9" s="147">
        <f>F8+F33+(INVENTÁRIO!$J$15/12)</f>
        <v>4876.9162660000002</v>
      </c>
      <c r="G9" s="147">
        <f>G8+G33+(INVENTÁRIO!$J$15/12)</f>
        <v>3505.5393326666672</v>
      </c>
      <c r="H9" s="147">
        <f>H8+H33+(INVENTÁRIO!$J$15/12)</f>
        <v>4698.4726660000006</v>
      </c>
      <c r="I9" s="147">
        <f>I8+I33+(INVENTÁRIO!$J$15/12)</f>
        <v>4505.3526660000007</v>
      </c>
      <c r="J9" s="147">
        <f>J8+J33+(INVENTÁRIO!$J$15/12)</f>
        <v>6139.3033993333338</v>
      </c>
      <c r="K9" s="147">
        <f>K8+K33+(INVENTÁRIO!$J$15/12)</f>
        <v>5689.9259993333344</v>
      </c>
      <c r="L9" s="147">
        <f>L8+L33+(INVENTÁRIO!$J$15/12)</f>
        <v>5640.2859993333341</v>
      </c>
      <c r="M9" s="147">
        <f>M8+M33+(INVENTÁRIO!$J$15/12)</f>
        <v>5622.6568337333338</v>
      </c>
      <c r="N9" s="147">
        <f>N8+N33+(INVENTÁRIO!$J$15/12)</f>
        <v>23301.678647333334</v>
      </c>
      <c r="O9" s="147">
        <f>O8+O33+(INVENTÁRIO!$J$15/12)</f>
        <v>5586.8359028000004</v>
      </c>
      <c r="P9" s="147">
        <f>P8+P33+(INVENTÁRIO!$J$15/12)</f>
        <v>7236.7636073333342</v>
      </c>
    </row>
    <row r="10" spans="1:16" x14ac:dyDescent="0.25">
      <c r="A10" s="242">
        <v>9</v>
      </c>
      <c r="B10" s="242">
        <v>5</v>
      </c>
      <c r="C10" s="243" t="s">
        <v>19</v>
      </c>
      <c r="D10" s="244" t="s">
        <v>27</v>
      </c>
      <c r="E10" s="247">
        <f>E9+INVENTÁRIO!$J$27*(INVENTÁRIO!$J$26/12)</f>
        <v>7896.579838933334</v>
      </c>
      <c r="F10" s="247">
        <f>F9+INVENTÁRIO!$J$27*(INVENTÁRIO!$J$26/12)</f>
        <v>7212.2336255999999</v>
      </c>
      <c r="G10" s="247">
        <f>G9+INVENTÁRIO!$J$27*(INVENTÁRIO!$J$26/12)</f>
        <v>5840.8566922666669</v>
      </c>
      <c r="H10" s="247">
        <f>H9+INVENTÁRIO!$J$27*(INVENTÁRIO!$J$26/12)</f>
        <v>7033.7900256000012</v>
      </c>
      <c r="I10" s="247">
        <f>I9+INVENTÁRIO!$J$27*(INVENTÁRIO!$J$26/12)</f>
        <v>6840.6700256000004</v>
      </c>
      <c r="J10" s="247">
        <f>J9+INVENTÁRIO!$J$27*(INVENTÁRIO!$J$26/12)</f>
        <v>8474.6207589333335</v>
      </c>
      <c r="K10" s="247">
        <f>K9+INVENTÁRIO!$J$27*(INVENTÁRIO!$J$26/12)</f>
        <v>8025.2433589333341</v>
      </c>
      <c r="L10" s="247">
        <f>L9+INVENTÁRIO!$J$27*(INVENTÁRIO!$J$26/12)</f>
        <v>7975.6033589333347</v>
      </c>
      <c r="M10" s="247">
        <f>M9+INVENTÁRIO!$J$27*(INVENTÁRIO!$J$26/12)</f>
        <v>7957.9741933333335</v>
      </c>
      <c r="N10" s="247">
        <f>N9+INVENTÁRIO!$J$27*(INVENTÁRIO!$J$26/12)</f>
        <v>25636.996006933336</v>
      </c>
      <c r="O10" s="247">
        <f>O9+INVENTÁRIO!$J$27*(INVENTÁRIO!$J$26/12)</f>
        <v>7922.153262400001</v>
      </c>
      <c r="P10" s="247">
        <f>P9+INVENTÁRIO!$J$27*(INVENTÁRIO!$J$26/12)</f>
        <v>9572.0809669333339</v>
      </c>
    </row>
    <row r="11" spans="1:16" x14ac:dyDescent="0.25">
      <c r="A11" s="242">
        <v>10</v>
      </c>
      <c r="B11" s="242">
        <v>6</v>
      </c>
      <c r="C11" s="243" t="s">
        <v>299</v>
      </c>
      <c r="D11" s="244" t="s">
        <v>18</v>
      </c>
      <c r="E11" s="330">
        <f>E8/'DADOS TÉCNICOS MENSAIS'!C7</f>
        <v>0.64867878534031431</v>
      </c>
      <c r="F11" s="330">
        <f>F8/'DADOS TÉCNICOS MENSAIS'!D7</f>
        <v>0.66520156521739138</v>
      </c>
      <c r="G11" s="330">
        <f>G8/'DADOS TÉCNICOS MENSAIS'!E7</f>
        <v>0.48129032258064519</v>
      </c>
      <c r="H11" s="330">
        <f>H8/'DADOS TÉCNICOS MENSAIS'!F7</f>
        <v>0.66250980392156877</v>
      </c>
      <c r="I11" s="330">
        <f>I8/'DADOS TÉCNICOS MENSAIS'!G7</f>
        <v>0.6555744199207697</v>
      </c>
      <c r="J11" s="330">
        <f>J8/'DADOS TÉCNICOS MENSAIS'!H7</f>
        <v>0.81700422661870498</v>
      </c>
      <c r="K11" s="330">
        <f>K8/'DADOS TÉCNICOS MENSAIS'!I7</f>
        <v>0.71792125984251975</v>
      </c>
      <c r="L11" s="330">
        <f>L8/'DADOS TÉCNICOS MENSAIS'!J7</f>
        <v>0.77666470241602825</v>
      </c>
      <c r="M11" s="330">
        <f>M8/'DADOS TÉCNICOS MENSAIS'!K7</f>
        <v>0.84220908963730579</v>
      </c>
      <c r="N11" s="330">
        <f>N8/'DADOS TÉCNICOS MENSAIS'!L7</f>
        <v>13.57610346781116</v>
      </c>
      <c r="O11" s="330">
        <f>O8/'DADOS TÉCNICOS MENSAIS'!M7</f>
        <v>0.79344074984059509</v>
      </c>
      <c r="P11" s="330" t="e">
        <f>P8/'DADOS TÉCNICOS MENSAIS'!N7</f>
        <v>#DIV/0!</v>
      </c>
    </row>
    <row r="12" spans="1:16" x14ac:dyDescent="0.25">
      <c r="A12" s="242">
        <v>11</v>
      </c>
      <c r="B12" s="242">
        <v>7</v>
      </c>
      <c r="C12" s="243" t="s">
        <v>309</v>
      </c>
      <c r="D12" s="244" t="s">
        <v>18</v>
      </c>
      <c r="E12" s="330">
        <f>E9/'DADOS TÉCNICOS MENSAIS'!C7</f>
        <v>2.91165574834206</v>
      </c>
      <c r="F12" s="330">
        <f>F9/'DADOS TÉCNICOS MENSAIS'!D7</f>
        <v>2.1203983765217393</v>
      </c>
      <c r="G12" s="330">
        <f>G9/'DADOS TÉCNICOS MENSAIS'!E7</f>
        <v>1.4879199204867009</v>
      </c>
      <c r="H12" s="330">
        <f>H9/'DADOS TÉCNICOS MENSAIS'!F7</f>
        <v>2.3031728754901963</v>
      </c>
      <c r="I12" s="330">
        <f>I9/'DADOS TÉCNICOS MENSAIS'!G7</f>
        <v>2.5497185432937184</v>
      </c>
      <c r="J12" s="330">
        <f>J9/'DADOS TÉCNICOS MENSAIS'!H7</f>
        <v>2.7604781471822544</v>
      </c>
      <c r="K12" s="330">
        <f>K9/'DADOS TÉCNICOS MENSAIS'!I7</f>
        <v>2.9868377949256351</v>
      </c>
      <c r="L12" s="330">
        <f>L9/'DADOS TÉCNICOS MENSAIS'!J7</f>
        <v>3.3236806124533493</v>
      </c>
      <c r="M12" s="330">
        <f>M9/'DADOS TÉCNICOS MENSAIS'!K7</f>
        <v>3.6416171202936098</v>
      </c>
      <c r="N12" s="330">
        <f>N9/'DADOS TÉCNICOS MENSAIS'!L7</f>
        <v>16.667867415832141</v>
      </c>
      <c r="O12" s="330">
        <f>O9/'DADOS TÉCNICOS MENSAIS'!M7</f>
        <v>1.9790421193057033</v>
      </c>
      <c r="P12" s="330" t="e">
        <f>P9/'DADOS TÉCNICOS MENSAIS'!N7</f>
        <v>#DIV/0!</v>
      </c>
    </row>
    <row r="13" spans="1:16" x14ac:dyDescent="0.25">
      <c r="A13" s="242">
        <v>12</v>
      </c>
      <c r="B13" s="242">
        <v>8</v>
      </c>
      <c r="C13" s="243" t="s">
        <v>312</v>
      </c>
      <c r="D13" s="244" t="s">
        <v>18</v>
      </c>
      <c r="E13" s="330">
        <f>E10/'DADOS TÉCNICOS MENSAIS'!C7</f>
        <v>4.1343349942059344</v>
      </c>
      <c r="F13" s="330">
        <f>F10/'DADOS TÉCNICOS MENSAIS'!D7</f>
        <v>3.1357537502608697</v>
      </c>
      <c r="G13" s="330">
        <f>G10/'DADOS TÉCNICOS MENSAIS'!E7</f>
        <v>2.4791412106395021</v>
      </c>
      <c r="H13" s="330">
        <f>H10/'DADOS TÉCNICOS MENSAIS'!F7</f>
        <v>3.4479362870588242</v>
      </c>
      <c r="I13" s="330">
        <f>I10/'DADOS TÉCNICOS MENSAIS'!G7</f>
        <v>3.8713469301641203</v>
      </c>
      <c r="J13" s="330">
        <f>J10/'DADOS TÉCNICOS MENSAIS'!H7</f>
        <v>3.8105309167865706</v>
      </c>
      <c r="K13" s="330">
        <f>K10/'DADOS TÉCNICOS MENSAIS'!I7</f>
        <v>4.2127261726684164</v>
      </c>
      <c r="L13" s="330">
        <f>L10/'DADOS TÉCNICOS MENSAIS'!J7</f>
        <v>4.6998251967786295</v>
      </c>
      <c r="M13" s="330">
        <f>M10/'DADOS TÉCNICOS MENSAIS'!K7</f>
        <v>5.1541283635578585</v>
      </c>
      <c r="N13" s="330">
        <f>N10/'DADOS TÉCNICOS MENSAIS'!L7</f>
        <v>18.338337630138295</v>
      </c>
      <c r="O13" s="330">
        <f>O10/'DADOS TÉCNICOS MENSAIS'!M7</f>
        <v>2.8062887929153386</v>
      </c>
      <c r="P13" s="330" t="e">
        <f>P10/'DADOS TÉCNICOS MENSAIS'!N7</f>
        <v>#DIV/0!</v>
      </c>
    </row>
    <row r="14" spans="1:16" x14ac:dyDescent="0.25">
      <c r="A14" s="242">
        <v>13</v>
      </c>
      <c r="B14" s="242">
        <v>9</v>
      </c>
      <c r="C14" s="243" t="s">
        <v>295</v>
      </c>
      <c r="D14" s="244" t="s">
        <v>12</v>
      </c>
      <c r="E14" s="246">
        <f t="shared" ref="E14:P14" si="0">E11/E7</f>
        <v>0.64029826992929395</v>
      </c>
      <c r="F14" s="246">
        <f t="shared" si="0"/>
        <v>0.47811377441055458</v>
      </c>
      <c r="G14" s="246">
        <f t="shared" si="0"/>
        <v>0.4742452130762973</v>
      </c>
      <c r="H14" s="246">
        <f t="shared" si="0"/>
        <v>0.65133650924460085</v>
      </c>
      <c r="I14" s="246">
        <f t="shared" si="0"/>
        <v>0.63105417875121261</v>
      </c>
      <c r="J14" s="246">
        <f t="shared" si="0"/>
        <v>0.80434624352763662</v>
      </c>
      <c r="K14" s="246">
        <f t="shared" si="0"/>
        <v>0.67839334675710294</v>
      </c>
      <c r="L14" s="246">
        <f t="shared" si="0"/>
        <v>0.74155409217263502</v>
      </c>
      <c r="M14" s="246">
        <f t="shared" si="0"/>
        <v>0.79329606462206526</v>
      </c>
      <c r="N14" s="246">
        <f t="shared" si="0"/>
        <v>12.772996540980696</v>
      </c>
      <c r="O14" s="246">
        <f t="shared" si="0"/>
        <v>0.86660989135553979</v>
      </c>
      <c r="P14" s="246" t="e">
        <f t="shared" si="0"/>
        <v>#DIV/0!</v>
      </c>
    </row>
    <row r="15" spans="1:16" x14ac:dyDescent="0.25">
      <c r="A15" s="242">
        <v>14</v>
      </c>
      <c r="B15" s="242">
        <v>10</v>
      </c>
      <c r="C15" s="243" t="s">
        <v>296</v>
      </c>
      <c r="D15" s="244" t="s">
        <v>12</v>
      </c>
      <c r="E15" s="246">
        <f t="shared" ref="E15:P15" si="1">E12/E7</f>
        <v>2.8740390165758667</v>
      </c>
      <c r="F15" s="246">
        <f t="shared" si="1"/>
        <v>1.5240368093865033</v>
      </c>
      <c r="G15" s="246">
        <f t="shared" si="1"/>
        <v>1.4661398050725312</v>
      </c>
      <c r="H15" s="246">
        <f t="shared" si="1"/>
        <v>2.264329632601525</v>
      </c>
      <c r="I15" s="246">
        <f t="shared" si="1"/>
        <v>2.4543522329309533</v>
      </c>
      <c r="J15" s="246">
        <f t="shared" si="1"/>
        <v>2.7177095976792613</v>
      </c>
      <c r="K15" s="246">
        <f t="shared" si="1"/>
        <v>2.822385965230612</v>
      </c>
      <c r="L15" s="246">
        <f t="shared" si="1"/>
        <v>3.1734272866689333</v>
      </c>
      <c r="M15" s="246">
        <f t="shared" si="1"/>
        <v>3.430122716478095</v>
      </c>
      <c r="N15" s="246">
        <f t="shared" si="1"/>
        <v>15.681864339994888</v>
      </c>
      <c r="O15" s="246">
        <f t="shared" si="1"/>
        <v>2.1615444837489295</v>
      </c>
      <c r="P15" s="246" t="e">
        <f t="shared" si="1"/>
        <v>#DIV/0!</v>
      </c>
    </row>
    <row r="16" spans="1:16" x14ac:dyDescent="0.25">
      <c r="A16" s="242">
        <v>15</v>
      </c>
      <c r="B16" s="242">
        <v>11</v>
      </c>
      <c r="C16" s="243" t="s">
        <v>297</v>
      </c>
      <c r="D16" s="244" t="s">
        <v>12</v>
      </c>
      <c r="E16" s="246">
        <f t="shared" ref="E16:P16" si="2">E13/E7</f>
        <v>4.0809220278560536</v>
      </c>
      <c r="F16" s="246">
        <f t="shared" si="2"/>
        <v>2.2538237123199103</v>
      </c>
      <c r="G16" s="246">
        <f t="shared" si="2"/>
        <v>2.4428516355405341</v>
      </c>
      <c r="H16" s="246">
        <f t="shared" si="2"/>
        <v>3.3897864937505884</v>
      </c>
      <c r="I16" s="246">
        <f t="shared" si="2"/>
        <v>3.7265481743033879</v>
      </c>
      <c r="J16" s="246">
        <f t="shared" si="2"/>
        <v>3.7514937241489026</v>
      </c>
      <c r="K16" s="246">
        <f t="shared" si="2"/>
        <v>3.9807783486933679</v>
      </c>
      <c r="L16" s="246">
        <f t="shared" si="2"/>
        <v>4.4873606284998688</v>
      </c>
      <c r="M16" s="246">
        <f t="shared" si="2"/>
        <v>4.854791758574132</v>
      </c>
      <c r="N16" s="246">
        <f t="shared" si="2"/>
        <v>17.253516347489782</v>
      </c>
      <c r="O16" s="246">
        <f t="shared" si="2"/>
        <v>3.0650777974653041</v>
      </c>
      <c r="P16" s="246" t="e">
        <f t="shared" si="2"/>
        <v>#DIV/0!</v>
      </c>
    </row>
    <row r="17" spans="1:16" x14ac:dyDescent="0.25">
      <c r="A17" s="242">
        <v>16</v>
      </c>
      <c r="B17" s="242">
        <v>12</v>
      </c>
      <c r="C17" s="243" t="s">
        <v>433</v>
      </c>
      <c r="D17" s="244" t="s">
        <v>12</v>
      </c>
      <c r="E17" s="331">
        <f>('DADOS ECONÔMICOS MENSAIS'!$D$16*INVENTÁRIO!$J$14)/'INDICADORES ECONÔMICOS MENSAIS'!E6</f>
        <v>0</v>
      </c>
      <c r="F17" s="331">
        <f>('DADOS ECONÔMICOS MENSAIS'!$G$16*INVENTÁRIO!$J$14)/'INDICADORES ECONÔMICOS MENSAIS'!F6</f>
        <v>0</v>
      </c>
      <c r="G17" s="331">
        <f>('DADOS ECONÔMICOS MENSAIS'!$J$16*INVENTÁRIO!$J$14)/'INDICADORES ECONÔMICOS MENSAIS'!G6</f>
        <v>0</v>
      </c>
      <c r="H17" s="331">
        <f>SUM('DADOS ECONÔMICOS MENSAIS'!$M$16*INVENTÁRIO!$J$14)/'INDICADORES ECONÔMICOS MENSAIS'!H6</f>
        <v>0</v>
      </c>
      <c r="I17" s="331">
        <f>SUM('DADOS ECONÔMICOS MENSAIS'!$P$16*INVENTÁRIO!$J$14)/'INDICADORES ECONÔMICOS MENSAIS'!I6</f>
        <v>0</v>
      </c>
      <c r="J17" s="331">
        <f>SUM('DADOS ECONÔMICOS MENSAIS'!$S$16*INVENTÁRIO!$J$14)/'INDICADORES ECONÔMICOS MENSAIS'!J6</f>
        <v>0</v>
      </c>
      <c r="K17" s="331">
        <f>SUM('DADOS ECONÔMICOS MENSAIS'!$V$16*INVENTÁRIO!$J$14)/'INDICADORES ECONÔMICOS MENSAIS'!K6</f>
        <v>9.5238163973972501E-2</v>
      </c>
      <c r="L17" s="331">
        <f>SUM('DADOS ECONÔMICOS MENSAIS'!$Y$16*INVENTÁRIO!$J$14)/'INDICADORES ECONÔMICOS MENSAIS'!L6</f>
        <v>0</v>
      </c>
      <c r="M17" s="331">
        <f>SUM('DADOS ECONÔMICOS MENSAIS'!$AB$16*INVENTÁRIO!$J$14)/'INDICADORES ECONÔMICOS MENSAIS'!M6</f>
        <v>0</v>
      </c>
      <c r="N17" s="331">
        <f>SUM('DADOS ECONÔMICOS MENSAIS'!$AE$16*INVENTÁRIO!$J$14)/'INDICADORES ECONÔMICOS MENSAIS'!N6</f>
        <v>0</v>
      </c>
      <c r="O17" s="331">
        <f>SUM('DADOS ECONÔMICOS MENSAIS'!$AH$16*INVENTÁRIO!$J$14)/'INDICADORES ECONÔMICOS MENSAIS'!O6</f>
        <v>0</v>
      </c>
      <c r="P17" s="331">
        <f>SUM('DADOS ECONÔMICOS MENSAIS'!$AK$16*INVENTÁRIO!$J$14)/'INDICADORES ECONÔMICOS MENSAIS'!P6</f>
        <v>0</v>
      </c>
    </row>
    <row r="18" spans="1:16" x14ac:dyDescent="0.25">
      <c r="A18" s="242">
        <v>17</v>
      </c>
      <c r="B18" s="242">
        <v>13</v>
      </c>
      <c r="C18" s="243" t="s">
        <v>435</v>
      </c>
      <c r="D18" s="244" t="s">
        <v>12</v>
      </c>
      <c r="E18" s="246">
        <f>('DADOS ECONÔMICOS MENSAIS'!D16+'DADOS ECONÔMICOS MENSAIS'!D96)*INVENTÁRIO!$J$14/E6</f>
        <v>0.8064776124727786</v>
      </c>
      <c r="F18" s="246">
        <f>('DADOS ECONÔMICOS MENSAIS'!G16+'DADOS ECONÔMICOS MENSAIS'!G96)*INVENTÁRIO!$J$14/F6</f>
        <v>0.24383340953127386</v>
      </c>
      <c r="G18" s="246">
        <f>('DADOS ECONÔMICOS MENSAIS'!J16+'DADOS ECONÔMICOS MENSAIS'!J96)*INVENTÁRIO!$J$14/G6</f>
        <v>0</v>
      </c>
      <c r="H18" s="246">
        <f>('DADOS ECONÔMICOS MENSAIS'!M16+'DADOS ECONÔMICOS MENSAIS'!M96)*INVENTÁRIO!$J$14/H6</f>
        <v>0.37603303461775417</v>
      </c>
      <c r="I18" s="246">
        <f>('DADOS ECONÔMICOS MENSAIS'!P16+'DADOS ECONÔMICOS MENSAIS'!P96)*INVENTÁRIO!$J$14/I6</f>
        <v>0.42506089480341808</v>
      </c>
      <c r="J18" s="246">
        <f>('DADOS ECONÔMICOS MENSAIS'!S16+'DADOS ECONÔMICOS MENSAIS'!S96)*INVENTÁRIO!$J$14/J6</f>
        <v>0.69080743231535824</v>
      </c>
      <c r="K18" s="246">
        <f>('DADOS ECONÔMICOS MENSAIS'!V16+'DADOS ECONÔMICOS MENSAIS'!V96)*INVENTÁRIO!$J$14/K6</f>
        <v>0.86931279671798256</v>
      </c>
      <c r="L18" s="246">
        <f>('DADOS ECONÔMICOS MENSAIS'!Y16+'DADOS ECONÔMICOS MENSAIS'!Y96)*INVENTÁRIO!$J$14/L6</f>
        <v>0.87801204803121113</v>
      </c>
      <c r="M18" s="246">
        <f>('DADOS ECONÔMICOS MENSAIS'!AB16+'DADOS ECONÔMICOS MENSAIS'!AB96)*INVENTÁRIO!$J$14/M6</f>
        <v>0.9520091648441904</v>
      </c>
      <c r="N18" s="246">
        <f>('DADOS ECONÔMICOS MENSAIS'!AE16+'DADOS ECONÔMICOS MENSAIS'!AE96)*INVENTÁRIO!$J$14/N6</f>
        <v>1.0502278570464263</v>
      </c>
      <c r="O18" s="246">
        <f>('DADOS ECONÔMICOS MENSAIS'!AH16+'DADOS ECONÔMICOS MENSAIS'!AH96)*INVENTÁRIO!$J$14/O6</f>
        <v>0.30188484833449658</v>
      </c>
      <c r="P18" s="246">
        <f>('DADOS ECONÔMICOS MENSAIS'!AK16+'DADOS ECONÔMICOS MENSAIS'!AK96)*INVENTÁRIO!$J$14/P6</f>
        <v>0.54281347683627923</v>
      </c>
    </row>
    <row r="19" spans="1:16" x14ac:dyDescent="0.25">
      <c r="A19" s="242">
        <v>18</v>
      </c>
      <c r="B19" s="242">
        <v>14</v>
      </c>
      <c r="C19" s="243" t="s">
        <v>434</v>
      </c>
      <c r="D19" s="244" t="s">
        <v>12</v>
      </c>
      <c r="E19" s="246">
        <f>'DADOS ECONÔMICOS MENSAIS'!D52*INVENTÁRIO!$J$14/E6</f>
        <v>0.23152467343716129</v>
      </c>
      <c r="F19" s="246">
        <f>'DADOS ECONÔMICOS MENSAIS'!G52*INVENTÁRIO!$J$14/F6</f>
        <v>0.15000004687501467</v>
      </c>
      <c r="G19" s="246">
        <f>'DADOS ECONÔMICOS MENSAIS'!J52*INVENTÁRIO!$J$14/G6</f>
        <v>0.22082816468911826</v>
      </c>
      <c r="H19" s="246">
        <f>'DADOS ECONÔMICOS MENSAIS'!M52*INVENTÁRIO!$J$14/H6</f>
        <v>0.37860332193571555</v>
      </c>
      <c r="I19" s="246">
        <f>'DADOS ECONÔMICOS MENSAIS'!P52*INVENTÁRIO!$J$14/I6</f>
        <v>0.42578724629829739</v>
      </c>
      <c r="J19" s="246">
        <f>'DADOS ECONÔMICOS MENSAIS'!S52*INVENTÁRIO!$J$14/J6</f>
        <v>0.47596301556656256</v>
      </c>
      <c r="K19" s="246">
        <f>'DADOS ECONÔMICOS MENSAIS'!V52*INVENTÁRIO!$J$14/K6</f>
        <v>0.29841291378511386</v>
      </c>
      <c r="L19" s="246">
        <f>'DADOS ECONÔMICOS MENSAIS'!Y52*INVENTÁRIO!$J$14/L6</f>
        <v>0.27681685383075605</v>
      </c>
      <c r="M19" s="246">
        <f>'DADOS ECONÔMICOS MENSAIS'!AB52*INVENTÁRIO!$J$14/M6</f>
        <v>0.28306492597896293</v>
      </c>
      <c r="N19" s="246">
        <f>'DADOS ECONÔMICOS MENSAIS'!AE52*INVENTÁRIO!$J$14/N6</f>
        <v>0.31226870664059836</v>
      </c>
      <c r="O19" s="246">
        <f>'DADOS ECONÔMICOS MENSAIS'!AH52*INVENTÁRIO!$J$14/O6</f>
        <v>0.16249782506043473</v>
      </c>
      <c r="P19" s="246">
        <f>'DADOS ECONÔMICOS MENSAIS'!AK52*INVENTÁRIO!$J$14/P6</f>
        <v>0.19061546392661549</v>
      </c>
    </row>
    <row r="20" spans="1:16" x14ac:dyDescent="0.25">
      <c r="A20" s="242">
        <v>19</v>
      </c>
      <c r="B20" s="242">
        <v>15</v>
      </c>
      <c r="C20" s="243" t="s">
        <v>298</v>
      </c>
      <c r="D20" s="244" t="s">
        <v>27</v>
      </c>
      <c r="E20" s="147">
        <f t="shared" ref="E20:P20" si="3">E6-E8</f>
        <v>696.02246999999966</v>
      </c>
      <c r="F20" s="147">
        <f t="shared" si="3"/>
        <v>1670.0353999999998</v>
      </c>
      <c r="G20" s="147">
        <f t="shared" si="3"/>
        <v>1257.079358</v>
      </c>
      <c r="H20" s="147">
        <f t="shared" si="3"/>
        <v>723.47499999999968</v>
      </c>
      <c r="I20" s="147">
        <f t="shared" si="3"/>
        <v>677.25855200000001</v>
      </c>
      <c r="J20" s="147">
        <f t="shared" si="3"/>
        <v>441.98164999999995</v>
      </c>
      <c r="K20" s="147">
        <f t="shared" si="3"/>
        <v>648.35854500000005</v>
      </c>
      <c r="L20" s="147">
        <f t="shared" si="3"/>
        <v>459.34842800000001</v>
      </c>
      <c r="M20" s="147">
        <f t="shared" si="3"/>
        <v>338.82907139999975</v>
      </c>
      <c r="N20" s="147">
        <f t="shared" si="3"/>
        <v>-17493.492876</v>
      </c>
      <c r="O20" s="147">
        <f t="shared" si="3"/>
        <v>344.76674139999977</v>
      </c>
      <c r="P20" s="147">
        <f t="shared" si="3"/>
        <v>-39.579692000000705</v>
      </c>
    </row>
    <row r="21" spans="1:16" x14ac:dyDescent="0.25">
      <c r="A21" s="242">
        <v>20</v>
      </c>
      <c r="B21" s="242">
        <v>16</v>
      </c>
      <c r="C21" s="243" t="s">
        <v>311</v>
      </c>
      <c r="D21" s="244" t="s">
        <v>18</v>
      </c>
      <c r="E21" s="147">
        <f>E20/'DADOS TÉCNICOS MENSAIS'!C7</f>
        <v>0.36440967015706788</v>
      </c>
      <c r="F21" s="147">
        <f>F20/'DADOS TÉCNICOS MENSAIS'!D7</f>
        <v>0.72610234782608685</v>
      </c>
      <c r="G21" s="147">
        <f>G20/'DADOS TÉCNICOS MENSAIS'!E7</f>
        <v>0.5335650925297114</v>
      </c>
      <c r="H21" s="147">
        <f>H20/'DADOS TÉCNICOS MENSAIS'!F7</f>
        <v>0.35464460784313712</v>
      </c>
      <c r="I21" s="147">
        <f>I20/'DADOS TÉCNICOS MENSAIS'!G7</f>
        <v>0.38328158007923036</v>
      </c>
      <c r="J21" s="147">
        <f>J20/'DADOS TÉCNICOS MENSAIS'!H7</f>
        <v>0.19873275629496401</v>
      </c>
      <c r="K21" s="147">
        <f>K20/'DADOS TÉCNICOS MENSAIS'!I7</f>
        <v>0.34034569291338584</v>
      </c>
      <c r="L21" s="147">
        <f>L20/'DADOS TÉCNICOS MENSAIS'!J7</f>
        <v>0.2706826328815557</v>
      </c>
      <c r="M21" s="147">
        <f>M20/'DADOS TÉCNICOS MENSAIS'!K7</f>
        <v>0.21944888044041436</v>
      </c>
      <c r="N21" s="147">
        <f>N20/'DADOS TÉCNICOS MENSAIS'!L7</f>
        <v>-12.513228094420601</v>
      </c>
      <c r="O21" s="147">
        <f>O20/'DADOS TÉCNICOS MENSAIS'!M7</f>
        <v>0.12212778653914268</v>
      </c>
      <c r="P21" s="147" t="e">
        <f>P20/'DADOS TÉCNICOS MENSAIS'!N7</f>
        <v>#DIV/0!</v>
      </c>
    </row>
    <row r="22" spans="1:16" x14ac:dyDescent="0.25">
      <c r="A22" s="242">
        <v>21</v>
      </c>
      <c r="B22" s="242">
        <v>17</v>
      </c>
      <c r="C22" s="243" t="s">
        <v>378</v>
      </c>
      <c r="D22" s="244" t="s">
        <v>28</v>
      </c>
      <c r="E22" s="147">
        <f t="shared" ref="E22:P22" si="4">E20/E7</f>
        <v>687.03030443504849</v>
      </c>
      <c r="F22" s="147">
        <f t="shared" si="4"/>
        <v>1200.3383188557245</v>
      </c>
      <c r="G22" s="147">
        <f t="shared" si="4"/>
        <v>1238.6782779922435</v>
      </c>
      <c r="H22" s="147">
        <f t="shared" si="4"/>
        <v>711.27352114101461</v>
      </c>
      <c r="I22" s="147">
        <f t="shared" si="4"/>
        <v>651.92726614660739</v>
      </c>
      <c r="J22" s="147">
        <f t="shared" si="4"/>
        <v>435.13395439453586</v>
      </c>
      <c r="K22" s="147">
        <f t="shared" si="4"/>
        <v>612.66067442771885</v>
      </c>
      <c r="L22" s="147">
        <f t="shared" si="4"/>
        <v>438.58270558303838</v>
      </c>
      <c r="M22" s="147">
        <f t="shared" si="4"/>
        <v>319.1508762235311</v>
      </c>
      <c r="N22" s="147">
        <f t="shared" si="4"/>
        <v>-16458.649164291011</v>
      </c>
      <c r="O22" s="147">
        <f t="shared" si="4"/>
        <v>376.56027670331127</v>
      </c>
      <c r="P22" s="147" t="e">
        <f t="shared" si="4"/>
        <v>#DIV/0!</v>
      </c>
    </row>
    <row r="23" spans="1:16" x14ac:dyDescent="0.25">
      <c r="A23" s="242">
        <v>22</v>
      </c>
      <c r="B23" s="242">
        <v>18</v>
      </c>
      <c r="C23" s="243" t="s">
        <v>302</v>
      </c>
      <c r="D23" s="244" t="s">
        <v>29</v>
      </c>
      <c r="E23" s="147">
        <f>E20/PERFIL!$B$6</f>
        <v>278.40898799999985</v>
      </c>
      <c r="F23" s="147">
        <f>F20/PERFIL!$B$6</f>
        <v>668.01415999999995</v>
      </c>
      <c r="G23" s="147">
        <f>G20/PERFIL!$B$6</f>
        <v>502.83174320000001</v>
      </c>
      <c r="H23" s="147">
        <f>H20/PERFIL!$B$6</f>
        <v>289.38999999999987</v>
      </c>
      <c r="I23" s="147">
        <f>I20/PERFIL!$B$6</f>
        <v>270.90342079999999</v>
      </c>
      <c r="J23" s="147">
        <f>J20/PERFIL!$B$6</f>
        <v>176.79265999999998</v>
      </c>
      <c r="K23" s="147">
        <f>K20/PERFIL!$B$6</f>
        <v>259.34341800000004</v>
      </c>
      <c r="L23" s="147">
        <f>L20/PERFIL!$B$6</f>
        <v>183.73937119999999</v>
      </c>
      <c r="M23" s="147">
        <f>M20/PERFIL!$B$6</f>
        <v>135.53162855999989</v>
      </c>
      <c r="N23" s="147">
        <f>N20/PERFIL!$B$6</f>
        <v>-6997.3971504000001</v>
      </c>
      <c r="O23" s="147">
        <f>O20/PERFIL!$B$6</f>
        <v>137.90669655999992</v>
      </c>
      <c r="P23" s="147">
        <f>P20/PERFIL!$B$6</f>
        <v>-15.831876800000282</v>
      </c>
    </row>
    <row r="24" spans="1:16" x14ac:dyDescent="0.25">
      <c r="A24" s="242">
        <v>23</v>
      </c>
      <c r="B24" s="242">
        <v>19</v>
      </c>
      <c r="C24" s="243" t="s">
        <v>303</v>
      </c>
      <c r="D24" s="244" t="s">
        <v>20</v>
      </c>
      <c r="E24" s="147">
        <f>E20/'DADOS TÉCNICOS MENSAIS'!C11</f>
        <v>99.431781428571384</v>
      </c>
      <c r="F24" s="147">
        <f>F20/'DADOS TÉCNICOS MENSAIS'!D11</f>
        <v>238.57648571428567</v>
      </c>
      <c r="G24" s="147">
        <f>G20/'DADOS TÉCNICOS MENSAIS'!E11</f>
        <v>179.58276542857143</v>
      </c>
      <c r="H24" s="147">
        <f>H20/'DADOS TÉCNICOS MENSAIS'!F11</f>
        <v>103.35357142857139</v>
      </c>
      <c r="I24" s="147">
        <f>I20/'DADOS TÉCNICOS MENSAIS'!G11</f>
        <v>112.87642533333333</v>
      </c>
      <c r="J24" s="147">
        <f>J20/'DADOS TÉCNICOS MENSAIS'!H11</f>
        <v>73.663608333333329</v>
      </c>
      <c r="K24" s="147">
        <f>K20/'DADOS TÉCNICOS MENSAIS'!I11</f>
        <v>108.0597575</v>
      </c>
      <c r="L24" s="147">
        <f>L20/'DADOS TÉCNICOS MENSAIS'!J11</f>
        <v>76.558071333333331</v>
      </c>
      <c r="M24" s="147">
        <f>M20/'DADOS TÉCNICOS MENSAIS'!K11</f>
        <v>67.765814279999944</v>
      </c>
      <c r="N24" s="147">
        <f>N20/'DADOS TÉCNICOS MENSAIS'!L11</f>
        <v>-3498.6985752000001</v>
      </c>
      <c r="O24" s="147">
        <f>O20/'DADOS TÉCNICOS MENSAIS'!M11</f>
        <v>68.953348279999958</v>
      </c>
      <c r="P24" s="147">
        <f>P20/'DADOS TÉCNICOS MENSAIS'!N11</f>
        <v>-4.3977435555556337</v>
      </c>
    </row>
    <row r="25" spans="1:16" x14ac:dyDescent="0.25">
      <c r="A25" s="242">
        <v>24</v>
      </c>
      <c r="B25" s="242">
        <v>20</v>
      </c>
      <c r="C25" s="243" t="s">
        <v>304</v>
      </c>
      <c r="D25" s="244" t="s">
        <v>20</v>
      </c>
      <c r="E25" s="147">
        <f>E20/SUM('DADOS TÉCNICOS MENSAIS'!C11:C12)</f>
        <v>58.001872499999969</v>
      </c>
      <c r="F25" s="147">
        <f>F20/SUM('DADOS TÉCNICOS MENSAIS'!D11:D12)</f>
        <v>139.16961666666666</v>
      </c>
      <c r="G25" s="147">
        <f>G20/SUM('DADOS TÉCNICOS MENSAIS'!E11:E12)</f>
        <v>104.75661316666667</v>
      </c>
      <c r="H25" s="147">
        <f>H20/SUM('DADOS TÉCNICOS MENSAIS'!F11:F12)</f>
        <v>60.289583333333304</v>
      </c>
      <c r="I25" s="147">
        <f>I20/SUM('DADOS TÉCNICOS MENSAIS'!G11:G12)</f>
        <v>48.37561085714286</v>
      </c>
      <c r="J25" s="147">
        <f>J20/SUM('DADOS TÉCNICOS MENSAIS'!H11:H12)</f>
        <v>49.109072222222217</v>
      </c>
      <c r="K25" s="147">
        <f>K20/SUM('DADOS TÉCNICOS MENSAIS'!I11:I12)</f>
        <v>72.039838333333336</v>
      </c>
      <c r="L25" s="147">
        <f>L20/SUM('DADOS TÉCNICOS MENSAIS'!J11:J12)</f>
        <v>51.038714222222225</v>
      </c>
      <c r="M25" s="147">
        <f>M20/SUM('DADOS TÉCNICOS MENSAIS'!K11:K12)</f>
        <v>37.647674599999974</v>
      </c>
      <c r="N25" s="147">
        <f>N20/SUM('DADOS TÉCNICOS MENSAIS'!L11:L12)</f>
        <v>-1943.7214306666667</v>
      </c>
      <c r="O25" s="147">
        <f>O20/SUM('DADOS TÉCNICOS MENSAIS'!M11:M12)</f>
        <v>38.307415711111084</v>
      </c>
      <c r="P25" s="147">
        <f>P20/SUM('DADOS TÉCNICOS MENSAIS'!N11:N12)</f>
        <v>-4.3977435555556337</v>
      </c>
    </row>
    <row r="26" spans="1:16" x14ac:dyDescent="0.25">
      <c r="A26" s="242">
        <v>25</v>
      </c>
      <c r="B26" s="242">
        <v>21</v>
      </c>
      <c r="C26" s="243" t="s">
        <v>308</v>
      </c>
      <c r="D26" s="244" t="s">
        <v>27</v>
      </c>
      <c r="E26" s="147">
        <f t="shared" ref="E26:P26" si="5">E6-E9</f>
        <v>-3626.2635293333342</v>
      </c>
      <c r="F26" s="147">
        <f t="shared" si="5"/>
        <v>-1676.9172660000004</v>
      </c>
      <c r="G26" s="147">
        <f t="shared" si="5"/>
        <v>-1114.5399746666671</v>
      </c>
      <c r="H26" s="147">
        <f t="shared" si="5"/>
        <v>-2623.4776660000007</v>
      </c>
      <c r="I26" s="147">
        <f t="shared" si="5"/>
        <v>-2669.6941140000008</v>
      </c>
      <c r="J26" s="147">
        <f t="shared" si="5"/>
        <v>-3880.3043493333339</v>
      </c>
      <c r="K26" s="147">
        <f t="shared" si="5"/>
        <v>-3673.927454333334</v>
      </c>
      <c r="L26" s="147">
        <f t="shared" si="5"/>
        <v>-3862.9375713333338</v>
      </c>
      <c r="M26" s="147">
        <f t="shared" si="5"/>
        <v>-3983.4569279333336</v>
      </c>
      <c r="N26" s="147">
        <f t="shared" si="5"/>
        <v>-21815.778875333333</v>
      </c>
      <c r="O26" s="147">
        <f t="shared" si="5"/>
        <v>-3002.1859246000008</v>
      </c>
      <c r="P26" s="147">
        <f t="shared" si="5"/>
        <v>-4361.8656913333343</v>
      </c>
    </row>
    <row r="27" spans="1:16" x14ac:dyDescent="0.25">
      <c r="A27" s="242">
        <v>26</v>
      </c>
      <c r="B27" s="242">
        <v>22</v>
      </c>
      <c r="C27" s="243" t="s">
        <v>305</v>
      </c>
      <c r="D27" s="244" t="s">
        <v>18</v>
      </c>
      <c r="E27" s="147">
        <f>E26/'DADOS TÉCNICOS MENSAIS'!C7</f>
        <v>-1.8985672928446775</v>
      </c>
      <c r="F27" s="147">
        <f>F26/'DADOS TÉCNICOS MENSAIS'!D7</f>
        <v>-0.72909446347826101</v>
      </c>
      <c r="G27" s="147">
        <f>G26/'DADOS TÉCNICOS MENSAIS'!E7</f>
        <v>-0.47306450537634431</v>
      </c>
      <c r="H27" s="147">
        <f>H26/'DADOS TÉCNICOS MENSAIS'!F7</f>
        <v>-1.2860184637254906</v>
      </c>
      <c r="I27" s="147">
        <f>I26/'DADOS TÉCNICOS MENSAIS'!G7</f>
        <v>-1.5108625432937186</v>
      </c>
      <c r="J27" s="147">
        <f>J26/'DADOS TÉCNICOS MENSAIS'!H7</f>
        <v>-1.7447411642685855</v>
      </c>
      <c r="K27" s="147">
        <f>K26/'DADOS TÉCNICOS MENSAIS'!I7</f>
        <v>-1.9285708421697292</v>
      </c>
      <c r="L27" s="147">
        <f>L26/'DADOS TÉCNICOS MENSAIS'!J7</f>
        <v>-2.2763332771557652</v>
      </c>
      <c r="M27" s="147">
        <f>M26/'DADOS TÉCNICOS MENSAIS'!K7</f>
        <v>-2.5799591502158896</v>
      </c>
      <c r="N27" s="147">
        <f>N26/'DADOS TÉCNICOS MENSAIS'!L7</f>
        <v>-15.604992042441584</v>
      </c>
      <c r="O27" s="147">
        <f>O26/'DADOS TÉCNICOS MENSAIS'!M7</f>
        <v>-1.0634735829259656</v>
      </c>
      <c r="P27" s="147" t="e">
        <f>P26/'DADOS TÉCNICOS MENSAIS'!N7</f>
        <v>#DIV/0!</v>
      </c>
    </row>
    <row r="28" spans="1:16" x14ac:dyDescent="0.25">
      <c r="A28" s="242">
        <v>27</v>
      </c>
      <c r="B28" s="242">
        <v>23</v>
      </c>
      <c r="C28" s="243" t="s">
        <v>306</v>
      </c>
      <c r="D28" s="244" t="s">
        <v>28</v>
      </c>
      <c r="E28" s="247">
        <f t="shared" ref="E28:P28" si="6">E26/E7</f>
        <v>-3579.4145216599049</v>
      </c>
      <c r="F28" s="247">
        <f t="shared" si="6"/>
        <v>-1205.2846615889571</v>
      </c>
      <c r="G28" s="247">
        <f t="shared" si="6"/>
        <v>-1098.2253807508835</v>
      </c>
      <c r="H28" s="247">
        <f t="shared" si="6"/>
        <v>-2579.2324505071106</v>
      </c>
      <c r="I28" s="247">
        <f t="shared" si="6"/>
        <v>-2569.8403955889949</v>
      </c>
      <c r="J28" s="247">
        <f t="shared" si="6"/>
        <v>-3820.1861452386775</v>
      </c>
      <c r="K28" s="247">
        <f t="shared" si="6"/>
        <v>-3471.6452637643151</v>
      </c>
      <c r="L28" s="247">
        <f t="shared" si="6"/>
        <v>-3688.3061054771797</v>
      </c>
      <c r="M28" s="247">
        <f t="shared" si="6"/>
        <v>-3752.1094742421787</v>
      </c>
      <c r="N28" s="247">
        <f t="shared" si="6"/>
        <v>-20525.246347312856</v>
      </c>
      <c r="O28" s="247">
        <f t="shared" si="6"/>
        <v>-3279.0400776232282</v>
      </c>
      <c r="P28" s="247" t="e">
        <f t="shared" si="6"/>
        <v>#DIV/0!</v>
      </c>
    </row>
    <row r="29" spans="1:16" x14ac:dyDescent="0.25">
      <c r="A29" s="242">
        <v>28</v>
      </c>
      <c r="B29" s="242">
        <v>24</v>
      </c>
      <c r="C29" s="243" t="s">
        <v>307</v>
      </c>
      <c r="D29" s="244" t="s">
        <v>29</v>
      </c>
      <c r="E29" s="249">
        <f>E26/PERFIL!$B$6</f>
        <v>-1450.5054117333336</v>
      </c>
      <c r="F29" s="249">
        <f>F26/PERFIL!$B$6</f>
        <v>-670.76690640000015</v>
      </c>
      <c r="G29" s="249">
        <f>G26/PERFIL!$B$6</f>
        <v>-445.81598986666688</v>
      </c>
      <c r="H29" s="249">
        <f>H26/PERFIL!$B$6</f>
        <v>-1049.3910664000002</v>
      </c>
      <c r="I29" s="249">
        <f>I26/PERFIL!$B$6</f>
        <v>-1067.8776456000003</v>
      </c>
      <c r="J29" s="249">
        <f>J26/PERFIL!$B$6</f>
        <v>-1552.1217397333335</v>
      </c>
      <c r="K29" s="249">
        <f>K26/PERFIL!$B$6</f>
        <v>-1469.5709817333336</v>
      </c>
      <c r="L29" s="249">
        <f>L26/PERFIL!$B$6</f>
        <v>-1545.1750285333335</v>
      </c>
      <c r="M29" s="249">
        <f>M26/PERFIL!$B$6</f>
        <v>-1593.3827711733334</v>
      </c>
      <c r="N29" s="249">
        <f>N26/PERFIL!$B$6</f>
        <v>-8726.3115501333341</v>
      </c>
      <c r="O29" s="249">
        <f>O26/PERFIL!$B$6</f>
        <v>-1200.8743698400003</v>
      </c>
      <c r="P29" s="249">
        <f>P26/PERFIL!$B$6</f>
        <v>-1744.7462765333337</v>
      </c>
    </row>
    <row r="30" spans="1:16" x14ac:dyDescent="0.25">
      <c r="A30" s="242">
        <v>29</v>
      </c>
      <c r="B30" s="242">
        <v>25</v>
      </c>
      <c r="C30" s="243" t="s">
        <v>321</v>
      </c>
      <c r="D30" s="244" t="s">
        <v>27</v>
      </c>
      <c r="E30" s="147">
        <f t="shared" ref="E30:P30" si="7">E6-E10</f>
        <v>-5961.5808889333339</v>
      </c>
      <c r="F30" s="147">
        <f t="shared" si="7"/>
        <v>-4012.2346256000001</v>
      </c>
      <c r="G30" s="147">
        <f t="shared" si="7"/>
        <v>-3449.8573342666668</v>
      </c>
      <c r="H30" s="147">
        <f t="shared" si="7"/>
        <v>-4958.7950256000013</v>
      </c>
      <c r="I30" s="147">
        <f t="shared" si="7"/>
        <v>-5005.0114736000005</v>
      </c>
      <c r="J30" s="147">
        <f t="shared" si="7"/>
        <v>-6215.6217089333331</v>
      </c>
      <c r="K30" s="147">
        <f t="shared" si="7"/>
        <v>-6009.2448139333337</v>
      </c>
      <c r="L30" s="147">
        <f t="shared" si="7"/>
        <v>-6198.2549309333344</v>
      </c>
      <c r="M30" s="147">
        <f t="shared" si="7"/>
        <v>-6318.7742875333333</v>
      </c>
      <c r="N30" s="147">
        <f t="shared" si="7"/>
        <v>-24151.096234933335</v>
      </c>
      <c r="O30" s="147">
        <f t="shared" si="7"/>
        <v>-5337.5032842000019</v>
      </c>
      <c r="P30" s="147">
        <f t="shared" si="7"/>
        <v>-6697.183050933334</v>
      </c>
    </row>
    <row r="31" spans="1:16" x14ac:dyDescent="0.25">
      <c r="A31" s="242">
        <v>30</v>
      </c>
      <c r="B31" s="242">
        <v>26</v>
      </c>
      <c r="C31" s="243" t="s">
        <v>313</v>
      </c>
      <c r="D31" s="244" t="s">
        <v>18</v>
      </c>
      <c r="E31" s="147">
        <f>E30/'DADOS TÉCNICOS MENSAIS'!C7</f>
        <v>-3.1212465387085517</v>
      </c>
      <c r="F31" s="147">
        <f>F30/'DADOS TÉCNICOS MENSAIS'!D7</f>
        <v>-1.7444498372173913</v>
      </c>
      <c r="G31" s="147">
        <f>G30/'DADOS TÉCNICOS MENSAIS'!E7</f>
        <v>-1.4642857955291455</v>
      </c>
      <c r="H31" s="147">
        <f>H30/'DADOS TÉCNICOS MENSAIS'!F7</f>
        <v>-2.4307818752941182</v>
      </c>
      <c r="I31" s="147">
        <f>I30/'DADOS TÉCNICOS MENSAIS'!G7</f>
        <v>-2.8324909301641203</v>
      </c>
      <c r="J31" s="147">
        <f>J30/'DADOS TÉCNICOS MENSAIS'!H7</f>
        <v>-2.7947939338729015</v>
      </c>
      <c r="K31" s="147">
        <f>K30/'DADOS TÉCNICOS MENSAIS'!I7</f>
        <v>-3.154459219912511</v>
      </c>
      <c r="L31" s="147">
        <f>L30/'DADOS TÉCNICOS MENSAIS'!J7</f>
        <v>-3.6524778614810458</v>
      </c>
      <c r="M31" s="147">
        <f>M30/'DADOS TÉCNICOS MENSAIS'!K7</f>
        <v>-4.0924703934801379</v>
      </c>
      <c r="N31" s="147">
        <f>N30/'DADOS TÉCNICOS MENSAIS'!L7</f>
        <v>-17.275462256747737</v>
      </c>
      <c r="O31" s="147">
        <f>O30/'DADOS TÉCNICOS MENSAIS'!M7</f>
        <v>-1.8907202565356012</v>
      </c>
      <c r="P31" s="147" t="e">
        <f>P30/'DADOS TÉCNICOS MENSAIS'!N7</f>
        <v>#DIV/0!</v>
      </c>
    </row>
    <row r="32" spans="1:16" x14ac:dyDescent="0.25">
      <c r="A32" s="242">
        <v>31</v>
      </c>
      <c r="B32" s="242">
        <v>27</v>
      </c>
      <c r="C32" s="243" t="s">
        <v>320</v>
      </c>
      <c r="D32" s="244" t="s">
        <v>28</v>
      </c>
      <c r="E32" s="147">
        <f t="shared" ref="E32:P32" si="8">E30/E7</f>
        <v>-5884.5610732050618</v>
      </c>
      <c r="F32" s="147">
        <f t="shared" si="8"/>
        <v>-2883.7945383357937</v>
      </c>
      <c r="G32" s="147">
        <f t="shared" si="8"/>
        <v>-3399.3584533334979</v>
      </c>
      <c r="H32" s="147">
        <f t="shared" si="8"/>
        <v>-4875.1644472511998</v>
      </c>
      <c r="I32" s="147">
        <f t="shared" si="8"/>
        <v>-4817.8106239940862</v>
      </c>
      <c r="J32" s="147">
        <f t="shared" si="8"/>
        <v>-6119.3220425071595</v>
      </c>
      <c r="K32" s="147">
        <f t="shared" si="8"/>
        <v>-5678.382754260866</v>
      </c>
      <c r="L32" s="147">
        <f t="shared" si="8"/>
        <v>-5918.050986564278</v>
      </c>
      <c r="M32" s="147">
        <f t="shared" si="8"/>
        <v>-5951.7984752384591</v>
      </c>
      <c r="N32" s="147">
        <f t="shared" si="8"/>
        <v>-22722.415853790713</v>
      </c>
      <c r="O32" s="147">
        <f t="shared" si="8"/>
        <v>-5829.7146222445535</v>
      </c>
      <c r="P32" s="147" t="e">
        <f t="shared" si="8"/>
        <v>#DIV/0!</v>
      </c>
    </row>
    <row r="33" spans="1:16" x14ac:dyDescent="0.25">
      <c r="A33" s="242">
        <v>32</v>
      </c>
      <c r="B33" s="242">
        <v>28</v>
      </c>
      <c r="C33" s="243" t="s">
        <v>22</v>
      </c>
      <c r="D33" s="244" t="s">
        <v>27</v>
      </c>
      <c r="E33" s="147">
        <f>'DADOS ECONÔMICOS MENSAIS'!D96</f>
        <v>1950.6666666666667</v>
      </c>
      <c r="F33" s="147">
        <f>'DADOS ECONÔMICOS MENSAIS'!G96</f>
        <v>975.33333333333337</v>
      </c>
      <c r="G33" s="147">
        <f>'DADOS ECONÔMICOS MENSAIS'!J96</f>
        <v>0</v>
      </c>
      <c r="H33" s="147">
        <f>'DADOS ECONÔMICOS MENSAIS'!M96</f>
        <v>975.33333333333337</v>
      </c>
      <c r="I33" s="147">
        <f>'DADOS ECONÔMICOS MENSAIS'!P96</f>
        <v>975.33333333333337</v>
      </c>
      <c r="J33" s="147">
        <f>'DADOS ECONÔMICOS MENSAIS'!S96</f>
        <v>1950.6666666666667</v>
      </c>
      <c r="K33" s="147">
        <f>'DADOS ECONÔMICOS MENSAIS'!V96</f>
        <v>1950.6666666666667</v>
      </c>
      <c r="L33" s="147">
        <f>'DADOS ECONÔMICOS MENSAIS'!Y96</f>
        <v>1950.6666666666667</v>
      </c>
      <c r="M33" s="147">
        <f>'DADOS ECONÔMICOS MENSAIS'!AB96</f>
        <v>1950.6666666666667</v>
      </c>
      <c r="N33" s="147">
        <f>'DADOS ECONÔMICOS MENSAIS'!AE96</f>
        <v>1950.6666666666667</v>
      </c>
      <c r="O33" s="147">
        <f>'DADOS ECONÔMICOS MENSAIS'!AH96</f>
        <v>975.33333333333337</v>
      </c>
      <c r="P33" s="147">
        <f>'DADOS ECONÔMICOS MENSAIS'!AK96</f>
        <v>1950.6666666666667</v>
      </c>
    </row>
    <row r="34" spans="1:16" s="357" customFormat="1" x14ac:dyDescent="0.25">
      <c r="A34" s="242">
        <v>33</v>
      </c>
      <c r="B34" s="242">
        <v>29</v>
      </c>
      <c r="C34" s="354" t="s">
        <v>24</v>
      </c>
      <c r="D34" s="355" t="s">
        <v>330</v>
      </c>
      <c r="E34" s="356">
        <f t="shared" ref="E34:P34" si="9">E30/E6*100</f>
        <v>-308.09220278560537</v>
      </c>
      <c r="F34" s="356">
        <f t="shared" si="9"/>
        <v>-125.38237123199103</v>
      </c>
      <c r="G34" s="356">
        <f t="shared" si="9"/>
        <v>-144.28516355405341</v>
      </c>
      <c r="H34" s="356">
        <f t="shared" si="9"/>
        <v>-238.97864937505881</v>
      </c>
      <c r="I34" s="356">
        <f t="shared" si="9"/>
        <v>-272.65481743033877</v>
      </c>
      <c r="J34" s="356">
        <f t="shared" si="9"/>
        <v>-275.14937241489025</v>
      </c>
      <c r="K34" s="356">
        <f t="shared" si="9"/>
        <v>-298.07783486933681</v>
      </c>
      <c r="L34" s="356">
        <f t="shared" si="9"/>
        <v>-348.73606284998692</v>
      </c>
      <c r="M34" s="356">
        <f t="shared" si="9"/>
        <v>-385.47917585741322</v>
      </c>
      <c r="N34" s="356">
        <f t="shared" si="9"/>
        <v>-1625.3516347489779</v>
      </c>
      <c r="O34" s="356">
        <f t="shared" si="9"/>
        <v>-206.50777974653042</v>
      </c>
      <c r="P34" s="356">
        <f t="shared" si="9"/>
        <v>-232.95376902465756</v>
      </c>
    </row>
    <row r="35" spans="1:16" s="357" customFormat="1" x14ac:dyDescent="0.25">
      <c r="A35" s="242">
        <v>34</v>
      </c>
      <c r="B35" s="242">
        <v>30</v>
      </c>
      <c r="C35" s="354" t="s">
        <v>352</v>
      </c>
      <c r="D35" s="359" t="s">
        <v>9</v>
      </c>
      <c r="E35" s="356">
        <f>(E9-E8)/E21/30</f>
        <v>395.3687615251211</v>
      </c>
      <c r="F35" s="356">
        <f t="shared" ref="F35:P35" si="10">(F9-F8)/F21/30</f>
        <v>153.64926060449579</v>
      </c>
      <c r="G35" s="356">
        <f t="shared" si="10"/>
        <v>148.16182479395141</v>
      </c>
      <c r="H35" s="356">
        <f t="shared" si="10"/>
        <v>314.58278625799107</v>
      </c>
      <c r="I35" s="356">
        <f t="shared" si="10"/>
        <v>291.07866035097334</v>
      </c>
      <c r="J35" s="356">
        <f t="shared" si="10"/>
        <v>724.97459736298526</v>
      </c>
      <c r="K35" s="356">
        <f t="shared" si="10"/>
        <v>423.32311816398857</v>
      </c>
      <c r="L35" s="356">
        <f t="shared" si="10"/>
        <v>532.26983365727096</v>
      </c>
      <c r="M35" s="356">
        <f t="shared" si="10"/>
        <v>656.53650038509966</v>
      </c>
      <c r="N35" s="356">
        <f t="shared" si="10"/>
        <v>-11.513911429618906</v>
      </c>
      <c r="O35" s="356">
        <f t="shared" si="10"/>
        <v>913.5111020038787</v>
      </c>
      <c r="P35" s="356" t="e">
        <f t="shared" si="10"/>
        <v>#DIV/0!</v>
      </c>
    </row>
    <row r="36" spans="1:16" s="357" customFormat="1" x14ac:dyDescent="0.25">
      <c r="A36" s="242">
        <v>35</v>
      </c>
      <c r="B36" s="242">
        <v>31</v>
      </c>
      <c r="C36" s="360" t="s">
        <v>461</v>
      </c>
      <c r="D36" s="359" t="s">
        <v>9</v>
      </c>
      <c r="E36" s="356">
        <f>(E10-E8)/E21/30</f>
        <v>608.98524418628199</v>
      </c>
      <c r="F36" s="356">
        <f t="shared" ref="F36:P36" si="11">(F10-F8)/F21/30</f>
        <v>260.8571662389113</v>
      </c>
      <c r="G36" s="356">
        <f t="shared" si="11"/>
        <v>294.05576177846643</v>
      </c>
      <c r="H36" s="356">
        <f t="shared" si="11"/>
        <v>534.08115241134828</v>
      </c>
      <c r="I36" s="356">
        <f t="shared" si="11"/>
        <v>494.17715511968908</v>
      </c>
      <c r="J36" s="356">
        <f t="shared" si="11"/>
        <v>1116.6760633816459</v>
      </c>
      <c r="K36" s="356">
        <f t="shared" si="11"/>
        <v>652.04325068665014</v>
      </c>
      <c r="L36" s="356">
        <f t="shared" si="11"/>
        <v>819.85352958182386</v>
      </c>
      <c r="M36" s="356">
        <f t="shared" si="11"/>
        <v>1011.2610805717966</v>
      </c>
      <c r="N36" s="356">
        <f t="shared" si="11"/>
        <v>-17.734841104941914</v>
      </c>
      <c r="O36" s="356">
        <f t="shared" si="11"/>
        <v>1550.9083249668713</v>
      </c>
      <c r="P36" s="356" t="e">
        <f t="shared" si="11"/>
        <v>#DIV/0!</v>
      </c>
    </row>
    <row r="37" spans="1:16" s="357" customFormat="1" x14ac:dyDescent="0.25">
      <c r="A37" s="242">
        <v>36</v>
      </c>
      <c r="B37" s="242">
        <v>32</v>
      </c>
      <c r="C37" s="360" t="s">
        <v>26</v>
      </c>
      <c r="D37" s="361" t="s">
        <v>18</v>
      </c>
      <c r="E37" s="356">
        <f>INVENTÁRIO!$J$25/'DADOS TÉCNICOS MENSAIS'!C6</f>
        <v>9475.7641554450274</v>
      </c>
      <c r="F37" s="356">
        <f>INVENTÁRIO!$J$25/'DADOS TÉCNICOS MENSAIS'!D6</f>
        <v>7107.4876161739139</v>
      </c>
      <c r="G37" s="356">
        <f>INVENTÁRIO!$J$25/'DADOS TÉCNICOS MENSAIS'!E6</f>
        <v>7681.9649986842105</v>
      </c>
      <c r="H37" s="356">
        <f>INVENTÁRIO!$J$25/'DADOS TÉCNICOS MENSAIS'!F6</f>
        <v>8585.7255867647054</v>
      </c>
      <c r="I37" s="356">
        <f>INVENTÁRIO!$J$25/'DADOS TÉCNICOS MENSAIS'!G6</f>
        <v>10242.619998245615</v>
      </c>
      <c r="J37" s="356">
        <f>INVENTÁRIO!$J$25/'DADOS TÉCNICOS MENSAIS'!H6</f>
        <v>7875.3957720323733</v>
      </c>
      <c r="K37" s="356">
        <f>INVENTÁRIO!$J$25/'DADOS TÉCNICOS MENSAIS'!I6</f>
        <v>9500.6349275065622</v>
      </c>
      <c r="L37" s="356">
        <f>INVENTÁRIO!$J$25/'DADOS TÉCNICOS MENSAIS'!J6</f>
        <v>10665.12052852092</v>
      </c>
      <c r="M37" s="356">
        <f>INVENTÁRIO!$J$25/'DADOS TÉCNICOS MENSAIS'!K6</f>
        <v>11343.834324481866</v>
      </c>
      <c r="N37" s="356">
        <f>INVENTÁRIO!$J$25/'DADOS TÉCNICOS MENSAIS'!L6</f>
        <v>12946.144160872676</v>
      </c>
      <c r="O37" s="356">
        <f>INVENTÁRIO!$J$25/'DADOS TÉCNICOS MENSAIS'!M6</f>
        <v>6204.3500520722646</v>
      </c>
      <c r="P37" s="356" t="e">
        <f>INVENTÁRIO!$J$25/'DADOS TÉCNICOS MENSAIS'!N6</f>
        <v>#DIV/0!</v>
      </c>
    </row>
    <row r="38" spans="1:16" s="357" customFormat="1" x14ac:dyDescent="0.25">
      <c r="A38" s="242">
        <v>37</v>
      </c>
      <c r="B38" s="242">
        <v>33</v>
      </c>
      <c r="C38" s="354"/>
      <c r="D38" s="355"/>
      <c r="E38" s="356"/>
      <c r="F38" s="358"/>
      <c r="G38" s="358"/>
      <c r="H38" s="358"/>
      <c r="I38" s="358"/>
      <c r="J38" s="358"/>
      <c r="K38" s="358"/>
      <c r="L38" s="358"/>
      <c r="M38" s="358"/>
      <c r="N38" s="358"/>
      <c r="O38" s="358"/>
      <c r="P38" s="358"/>
    </row>
    <row r="39" spans="1:16" x14ac:dyDescent="0.25">
      <c r="A39" s="242">
        <v>38</v>
      </c>
      <c r="B39" s="242">
        <v>34</v>
      </c>
      <c r="C39" s="243"/>
      <c r="D39" s="244"/>
      <c r="E39" s="147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</row>
    <row r="40" spans="1:16" x14ac:dyDescent="0.25">
      <c r="A40" s="242">
        <v>39</v>
      </c>
      <c r="B40" s="242">
        <v>35</v>
      </c>
      <c r="C40" s="243"/>
      <c r="D40" s="244"/>
      <c r="E40" s="147"/>
      <c r="F40" s="245"/>
      <c r="G40" s="245"/>
      <c r="H40" s="245"/>
      <c r="I40" s="245"/>
      <c r="J40" s="245"/>
      <c r="K40" s="245"/>
      <c r="L40" s="245"/>
      <c r="M40" s="245"/>
      <c r="N40" s="245"/>
      <c r="O40" s="245"/>
      <c r="P40" s="245"/>
    </row>
    <row r="41" spans="1:16" x14ac:dyDescent="0.25">
      <c r="A41" s="242">
        <v>40</v>
      </c>
      <c r="B41" s="242">
        <v>36</v>
      </c>
      <c r="C41" s="243"/>
      <c r="D41" s="244"/>
      <c r="E41" s="147"/>
      <c r="F41" s="245"/>
      <c r="G41" s="245"/>
      <c r="H41" s="245"/>
      <c r="I41" s="245"/>
      <c r="J41" s="245"/>
      <c r="K41" s="245"/>
      <c r="L41" s="245"/>
      <c r="M41" s="245"/>
      <c r="N41" s="245"/>
      <c r="O41" s="245"/>
      <c r="P41" s="245"/>
    </row>
    <row r="42" spans="1:16" x14ac:dyDescent="0.25">
      <c r="A42" s="242">
        <v>41</v>
      </c>
      <c r="B42" s="242">
        <v>37</v>
      </c>
      <c r="C42" s="243"/>
      <c r="D42" s="244"/>
      <c r="E42" s="147"/>
      <c r="F42" s="245"/>
      <c r="G42" s="245"/>
      <c r="H42" s="245"/>
      <c r="I42" s="245"/>
      <c r="J42" s="245"/>
      <c r="K42" s="245"/>
      <c r="L42" s="245"/>
      <c r="M42" s="245"/>
      <c r="N42" s="245"/>
      <c r="O42" s="245"/>
      <c r="P42" s="245"/>
    </row>
    <row r="43" spans="1:16" x14ac:dyDescent="0.25">
      <c r="A43" s="242">
        <v>42</v>
      </c>
      <c r="B43" s="242">
        <v>38</v>
      </c>
      <c r="C43" s="243"/>
      <c r="D43" s="244"/>
      <c r="E43" s="252"/>
      <c r="F43" s="253"/>
      <c r="G43" s="253"/>
      <c r="H43" s="253"/>
      <c r="I43" s="253"/>
      <c r="J43" s="253"/>
      <c r="K43" s="253"/>
      <c r="L43" s="253"/>
      <c r="M43" s="253"/>
      <c r="N43" s="253"/>
      <c r="O43" s="253"/>
      <c r="P43" s="253"/>
    </row>
    <row r="44" spans="1:16" x14ac:dyDescent="0.25">
      <c r="A44" s="242">
        <v>43</v>
      </c>
      <c r="B44" s="242">
        <v>39</v>
      </c>
      <c r="C44" s="243"/>
      <c r="D44" s="244"/>
      <c r="E44" s="252"/>
      <c r="F44" s="253"/>
      <c r="G44" s="253"/>
      <c r="H44" s="253"/>
      <c r="I44" s="253"/>
      <c r="J44" s="253"/>
      <c r="K44" s="253"/>
      <c r="L44" s="253"/>
      <c r="M44" s="253"/>
      <c r="N44" s="253"/>
      <c r="O44" s="253"/>
      <c r="P44" s="253"/>
    </row>
    <row r="45" spans="1:16" x14ac:dyDescent="0.25">
      <c r="A45" s="242">
        <v>44</v>
      </c>
      <c r="B45" s="242">
        <v>40</v>
      </c>
      <c r="C45" s="243"/>
      <c r="D45" s="244"/>
      <c r="E45" s="254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</row>
    <row r="46" spans="1:16" x14ac:dyDescent="0.25">
      <c r="A46" s="242">
        <v>45</v>
      </c>
      <c r="B46" s="242">
        <v>41</v>
      </c>
      <c r="C46" s="243"/>
      <c r="D46" s="244"/>
      <c r="E46" s="254"/>
      <c r="F46" s="255"/>
      <c r="G46" s="255"/>
      <c r="H46" s="255"/>
      <c r="I46" s="255"/>
      <c r="J46" s="255"/>
      <c r="K46" s="255"/>
      <c r="L46" s="255"/>
      <c r="M46" s="255"/>
      <c r="N46" s="255"/>
      <c r="O46" s="255"/>
      <c r="P46" s="255"/>
    </row>
    <row r="47" spans="1:16" ht="15.75" thickBot="1" x14ac:dyDescent="0.3">
      <c r="A47" s="242">
        <v>46</v>
      </c>
      <c r="B47" s="482">
        <v>42</v>
      </c>
      <c r="C47" s="256"/>
      <c r="D47" s="257"/>
      <c r="E47" s="258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</row>
    <row r="48" spans="1:16" x14ac:dyDescent="0.25">
      <c r="A48" s="260"/>
      <c r="B48" s="260"/>
      <c r="C48" s="261"/>
      <c r="D48" s="262"/>
      <c r="E48" s="263"/>
    </row>
    <row r="49" spans="2:2" x14ac:dyDescent="0.25">
      <c r="B49" s="260"/>
    </row>
    <row r="50" spans="2:2" x14ac:dyDescent="0.25">
      <c r="B50" s="260"/>
    </row>
    <row r="51" spans="2:2" x14ac:dyDescent="0.25">
      <c r="B51" s="260"/>
    </row>
    <row r="52" spans="2:2" x14ac:dyDescent="0.25">
      <c r="B52" s="260"/>
    </row>
    <row r="53" spans="2:2" x14ac:dyDescent="0.25">
      <c r="B53" s="260"/>
    </row>
    <row r="54" spans="2:2" x14ac:dyDescent="0.25">
      <c r="B54" s="260"/>
    </row>
    <row r="55" spans="2:2" x14ac:dyDescent="0.25">
      <c r="B55" s="260"/>
    </row>
    <row r="56" spans="2:2" x14ac:dyDescent="0.25">
      <c r="B56" s="260"/>
    </row>
    <row r="57" spans="2:2" x14ac:dyDescent="0.25">
      <c r="B57" s="260"/>
    </row>
  </sheetData>
  <sheetProtection algorithmName="SHA-512" hashValue="CkWpcQFKTK40rHBl20Hi3/IeVJSiNAieXQpJaS5u+Q85f3zv7bv3MkWGpTAZ3ZI1APy21x2IXMPJGCxIwIS+wA==" saltValue="xr2s9XS9CXJWIYdQM3Ktig==" spinCount="100000" sheet="1" objects="1" scenarios="1"/>
  <mergeCells count="1">
    <mergeCell ref="A2:C4"/>
  </mergeCells>
  <pageMargins left="0.511811024" right="0.511811024" top="0.78740157499999996" bottom="0.78740157499999996" header="0.31496062000000002" footer="0.31496062000000002"/>
  <ignoredErrors>
    <ignoredError sqref="E25 F25:P25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enu">
                <anchor moveWithCells="1" sizeWithCells="1">
                  <from>
                    <xdr:col>2</xdr:col>
                    <xdr:colOff>38100</xdr:colOff>
                    <xdr:row>0</xdr:row>
                    <xdr:rowOff>38100</xdr:rowOff>
                  </from>
                  <to>
                    <xdr:col>2</xdr:col>
                    <xdr:colOff>581025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O62"/>
  <sheetViews>
    <sheetView workbookViewId="0">
      <pane xSplit="2" topLeftCell="C1" activePane="topRight" state="frozen"/>
      <selection pane="topRight" activeCell="D21" sqref="D21"/>
    </sheetView>
  </sheetViews>
  <sheetFormatPr defaultColWidth="9.140625" defaultRowHeight="15" x14ac:dyDescent="0.25"/>
  <cols>
    <col min="1" max="1" width="5.5703125" style="234" customWidth="1"/>
    <col min="2" max="2" width="46.85546875" style="234" bestFit="1" customWidth="1"/>
    <col min="3" max="3" width="11" style="264" customWidth="1"/>
    <col min="4" max="7" width="14.7109375" style="234" customWidth="1"/>
    <col min="8" max="15" width="14.85546875" style="234" customWidth="1"/>
    <col min="16" max="16384" width="9.140625" style="234"/>
  </cols>
  <sheetData>
    <row r="1" spans="1:15" x14ac:dyDescent="0.25">
      <c r="B1" s="233"/>
      <c r="C1" s="233"/>
      <c r="D1" s="233"/>
    </row>
    <row r="2" spans="1:15" ht="15" customHeight="1" x14ac:dyDescent="0.25">
      <c r="A2" s="534" t="s">
        <v>475</v>
      </c>
      <c r="B2" s="534"/>
      <c r="C2" s="487"/>
      <c r="D2" s="265"/>
    </row>
    <row r="3" spans="1:15" ht="18.75" customHeight="1" x14ac:dyDescent="0.25">
      <c r="A3" s="534"/>
      <c r="B3" s="534"/>
      <c r="C3" s="487"/>
      <c r="D3" s="265"/>
    </row>
    <row r="4" spans="1:15" ht="15.75" customHeight="1" thickBot="1" x14ac:dyDescent="0.3">
      <c r="B4" s="488"/>
      <c r="C4" s="488"/>
      <c r="D4" s="266"/>
    </row>
    <row r="5" spans="1:15" s="241" customFormat="1" x14ac:dyDescent="0.25">
      <c r="A5" s="237"/>
      <c r="B5" s="237" t="s">
        <v>474</v>
      </c>
      <c r="C5" s="267" t="s">
        <v>3</v>
      </c>
      <c r="D5" s="239" t="s">
        <v>4</v>
      </c>
      <c r="E5" s="240" t="s">
        <v>5</v>
      </c>
      <c r="F5" s="240" t="s">
        <v>6</v>
      </c>
      <c r="G5" s="240" t="s">
        <v>7</v>
      </c>
      <c r="H5" s="240" t="s">
        <v>8</v>
      </c>
      <c r="I5" s="240" t="s">
        <v>41</v>
      </c>
      <c r="J5" s="240" t="s">
        <v>42</v>
      </c>
      <c r="K5" s="240" t="s">
        <v>53</v>
      </c>
      <c r="L5" s="240" t="s">
        <v>44</v>
      </c>
      <c r="M5" s="240" t="s">
        <v>45</v>
      </c>
      <c r="N5" s="240" t="s">
        <v>46</v>
      </c>
      <c r="O5" s="240" t="s">
        <v>47</v>
      </c>
    </row>
    <row r="6" spans="1:15" s="241" customFormat="1" x14ac:dyDescent="0.25">
      <c r="A6" s="480" t="s">
        <v>1</v>
      </c>
      <c r="B6" s="268" t="s">
        <v>108</v>
      </c>
      <c r="C6" s="267"/>
      <c r="D6" s="269"/>
      <c r="E6" s="270"/>
      <c r="F6" s="270"/>
      <c r="G6" s="270"/>
      <c r="H6" s="270"/>
      <c r="I6" s="270"/>
      <c r="J6" s="270"/>
      <c r="K6" s="270"/>
      <c r="L6" s="270"/>
      <c r="M6" s="270"/>
      <c r="N6" s="270"/>
      <c r="O6" s="270"/>
    </row>
    <row r="7" spans="1:15" x14ac:dyDescent="0.25">
      <c r="A7" s="242">
        <v>1</v>
      </c>
      <c r="B7" s="243" t="s">
        <v>212</v>
      </c>
      <c r="C7" s="244" t="s">
        <v>329</v>
      </c>
      <c r="D7" s="352">
        <f>'DADOS TÉCNICOS MENSAIS'!C7</f>
        <v>1910</v>
      </c>
      <c r="E7" s="352">
        <f>'DADOS TÉCNICOS MENSAIS'!D7</f>
        <v>2300</v>
      </c>
      <c r="F7" s="352">
        <f>'DADOS TÉCNICOS MENSAIS'!E7</f>
        <v>2356</v>
      </c>
      <c r="G7" s="352">
        <f>'DADOS TÉCNICOS MENSAIS'!F7</f>
        <v>2040</v>
      </c>
      <c r="H7" s="352">
        <f>'DADOS TÉCNICOS MENSAIS'!G7</f>
        <v>1767</v>
      </c>
      <c r="I7" s="352">
        <f>'DADOS TÉCNICOS MENSAIS'!H7</f>
        <v>2224</v>
      </c>
      <c r="J7" s="352">
        <f>'DADOS TÉCNICOS MENSAIS'!I7</f>
        <v>1905</v>
      </c>
      <c r="K7" s="352">
        <f>'DADOS TÉCNICOS MENSAIS'!J7</f>
        <v>1697</v>
      </c>
      <c r="L7" s="352">
        <f>'DADOS TÉCNICOS MENSAIS'!K7</f>
        <v>1544</v>
      </c>
      <c r="M7" s="352">
        <f>'DADOS TÉCNICOS MENSAIS'!L7</f>
        <v>1398</v>
      </c>
      <c r="N7" s="352">
        <f>'DADOS TÉCNICOS MENSAIS'!M7</f>
        <v>2823</v>
      </c>
      <c r="O7" s="352">
        <f>'DADOS TÉCNICOS MENSAIS'!N7</f>
        <v>0</v>
      </c>
    </row>
    <row r="8" spans="1:15" x14ac:dyDescent="0.25">
      <c r="A8" s="242">
        <v>2</v>
      </c>
      <c r="B8" s="243" t="s">
        <v>10</v>
      </c>
      <c r="C8" s="244" t="s">
        <v>11</v>
      </c>
      <c r="D8" s="147">
        <f>PERFIL!$B$6</f>
        <v>2.5</v>
      </c>
      <c r="E8" s="147">
        <f>PERFIL!$B$6</f>
        <v>2.5</v>
      </c>
      <c r="F8" s="147">
        <f>PERFIL!$B$6</f>
        <v>2.5</v>
      </c>
      <c r="G8" s="147">
        <f>PERFIL!$B$6</f>
        <v>2.5</v>
      </c>
      <c r="H8" s="147">
        <f>PERFIL!$B$6</f>
        <v>2.5</v>
      </c>
      <c r="I8" s="147">
        <f>PERFIL!$B$6</f>
        <v>2.5</v>
      </c>
      <c r="J8" s="147">
        <f>PERFIL!$B$6</f>
        <v>2.5</v>
      </c>
      <c r="K8" s="147">
        <f>PERFIL!$B$6</f>
        <v>2.5</v>
      </c>
      <c r="L8" s="147">
        <f>PERFIL!$B$6</f>
        <v>2.5</v>
      </c>
      <c r="M8" s="147">
        <f>PERFIL!$B$6</f>
        <v>2.5</v>
      </c>
      <c r="N8" s="147">
        <f>PERFIL!$B$6</f>
        <v>2.5</v>
      </c>
      <c r="O8" s="147">
        <f>PERFIL!$B$6</f>
        <v>2.5</v>
      </c>
    </row>
    <row r="9" spans="1:15" x14ac:dyDescent="0.25">
      <c r="A9" s="242">
        <v>3</v>
      </c>
      <c r="B9" s="243" t="s">
        <v>317</v>
      </c>
      <c r="C9" s="244" t="s">
        <v>351</v>
      </c>
      <c r="D9" s="147">
        <f>SUM('DADOS TÉCNICOS MENSAIS'!C11:C16)</f>
        <v>20</v>
      </c>
      <c r="E9" s="147">
        <f>SUM('DADOS TÉCNICOS MENSAIS'!D11:D16)</f>
        <v>20</v>
      </c>
      <c r="F9" s="147">
        <f>SUM('DADOS TÉCNICOS MENSAIS'!E11:E16)</f>
        <v>20</v>
      </c>
      <c r="G9" s="147">
        <f>SUM('DADOS TÉCNICOS MENSAIS'!F11:F16)</f>
        <v>20</v>
      </c>
      <c r="H9" s="147">
        <f>SUM('DADOS TÉCNICOS MENSAIS'!G11:G16)</f>
        <v>27</v>
      </c>
      <c r="I9" s="147">
        <f>SUM('DADOS TÉCNICOS MENSAIS'!H11:H16)</f>
        <v>21</v>
      </c>
      <c r="J9" s="147">
        <f>SUM('DADOS TÉCNICOS MENSAIS'!I11:I16)</f>
        <v>21</v>
      </c>
      <c r="K9" s="147">
        <f>SUM('DADOS TÉCNICOS MENSAIS'!J11:J16)</f>
        <v>21</v>
      </c>
      <c r="L9" s="147">
        <f>SUM('DADOS TÉCNICOS MENSAIS'!K11:K16)</f>
        <v>21</v>
      </c>
      <c r="M9" s="147">
        <f>SUM('DADOS TÉCNICOS MENSAIS'!L11:L16)</f>
        <v>24</v>
      </c>
      <c r="N9" s="147">
        <f>SUM('DADOS TÉCNICOS MENSAIS'!M11:M16)</f>
        <v>22</v>
      </c>
      <c r="O9" s="147">
        <f>SUM('DADOS TÉCNICOS MENSAIS'!N11:N16)</f>
        <v>27</v>
      </c>
    </row>
    <row r="10" spans="1:15" x14ac:dyDescent="0.25">
      <c r="A10" s="242">
        <v>4</v>
      </c>
      <c r="B10" s="243" t="s">
        <v>120</v>
      </c>
      <c r="C10" s="244" t="s">
        <v>351</v>
      </c>
      <c r="D10" s="352">
        <f>SUM('DADOS TÉCNICOS MENSAIS'!C11:C12)</f>
        <v>12</v>
      </c>
      <c r="E10" s="352">
        <f>SUM('DADOS TÉCNICOS MENSAIS'!D11:D12)</f>
        <v>12</v>
      </c>
      <c r="F10" s="352">
        <f>SUM('DADOS TÉCNICOS MENSAIS'!E11:E12)</f>
        <v>12</v>
      </c>
      <c r="G10" s="352">
        <f>SUM('DADOS TÉCNICOS MENSAIS'!F11:F12)</f>
        <v>12</v>
      </c>
      <c r="H10" s="352">
        <f>SUM('DADOS TÉCNICOS MENSAIS'!G11:G12)</f>
        <v>14</v>
      </c>
      <c r="I10" s="352">
        <f>SUM('DADOS TÉCNICOS MENSAIS'!H11:H12)</f>
        <v>9</v>
      </c>
      <c r="J10" s="352">
        <f>SUM('DADOS TÉCNICOS MENSAIS'!I11:I12)</f>
        <v>9</v>
      </c>
      <c r="K10" s="352">
        <f>SUM('DADOS TÉCNICOS MENSAIS'!J11:J12)</f>
        <v>9</v>
      </c>
      <c r="L10" s="352">
        <f>SUM('DADOS TÉCNICOS MENSAIS'!K11:K12)</f>
        <v>9</v>
      </c>
      <c r="M10" s="352">
        <f>SUM('DADOS TÉCNICOS MENSAIS'!L11:L12)</f>
        <v>9</v>
      </c>
      <c r="N10" s="352">
        <f>SUM('DADOS TÉCNICOS MENSAIS'!M11:M12)</f>
        <v>9</v>
      </c>
      <c r="O10" s="352">
        <f>SUM('DADOS TÉCNICOS MENSAIS'!N11:N12)</f>
        <v>9</v>
      </c>
    </row>
    <row r="11" spans="1:15" x14ac:dyDescent="0.25">
      <c r="A11" s="242">
        <v>5</v>
      </c>
      <c r="B11" s="243" t="s">
        <v>121</v>
      </c>
      <c r="C11" s="244" t="s">
        <v>351</v>
      </c>
      <c r="D11" s="352">
        <f>'DADOS TÉCNICOS MENSAIS'!C11</f>
        <v>7</v>
      </c>
      <c r="E11" s="352">
        <f>'DADOS TÉCNICOS MENSAIS'!D11</f>
        <v>7</v>
      </c>
      <c r="F11" s="352">
        <f>'DADOS TÉCNICOS MENSAIS'!E11</f>
        <v>7</v>
      </c>
      <c r="G11" s="352">
        <f>'DADOS TÉCNICOS MENSAIS'!F11</f>
        <v>7</v>
      </c>
      <c r="H11" s="352">
        <f>'DADOS TÉCNICOS MENSAIS'!G11</f>
        <v>6</v>
      </c>
      <c r="I11" s="352">
        <f>'DADOS TÉCNICOS MENSAIS'!H11</f>
        <v>6</v>
      </c>
      <c r="J11" s="352">
        <f>'DADOS TÉCNICOS MENSAIS'!I11</f>
        <v>6</v>
      </c>
      <c r="K11" s="352">
        <f>'DADOS TÉCNICOS MENSAIS'!J11</f>
        <v>6</v>
      </c>
      <c r="L11" s="352">
        <f>'DADOS TÉCNICOS MENSAIS'!K11</f>
        <v>5</v>
      </c>
      <c r="M11" s="352">
        <f>'DADOS TÉCNICOS MENSAIS'!L11</f>
        <v>5</v>
      </c>
      <c r="N11" s="352">
        <f>'DADOS TÉCNICOS MENSAIS'!M11</f>
        <v>5</v>
      </c>
      <c r="O11" s="352">
        <f>'DADOS TÉCNICOS MENSAIS'!N11</f>
        <v>9</v>
      </c>
    </row>
    <row r="12" spans="1:15" x14ac:dyDescent="0.25">
      <c r="A12" s="242">
        <v>6</v>
      </c>
      <c r="B12" s="243" t="s">
        <v>114</v>
      </c>
      <c r="C12" s="244" t="s">
        <v>351</v>
      </c>
      <c r="D12" s="352">
        <f>'DADOS TÉCNICOS MENSAIS'!C12</f>
        <v>5</v>
      </c>
      <c r="E12" s="352">
        <f>'DADOS TÉCNICOS MENSAIS'!D12</f>
        <v>5</v>
      </c>
      <c r="F12" s="352">
        <f>'DADOS TÉCNICOS MENSAIS'!E12</f>
        <v>5</v>
      </c>
      <c r="G12" s="352">
        <f>'DADOS TÉCNICOS MENSAIS'!F12</f>
        <v>5</v>
      </c>
      <c r="H12" s="352">
        <f>'DADOS TÉCNICOS MENSAIS'!G12</f>
        <v>8</v>
      </c>
      <c r="I12" s="352">
        <f>'DADOS TÉCNICOS MENSAIS'!H12</f>
        <v>3</v>
      </c>
      <c r="J12" s="352">
        <f>'DADOS TÉCNICOS MENSAIS'!I12</f>
        <v>3</v>
      </c>
      <c r="K12" s="352">
        <f>'DADOS TÉCNICOS MENSAIS'!J12</f>
        <v>3</v>
      </c>
      <c r="L12" s="352">
        <f>'DADOS TÉCNICOS MENSAIS'!K12</f>
        <v>4</v>
      </c>
      <c r="M12" s="352">
        <f>'DADOS TÉCNICOS MENSAIS'!L12</f>
        <v>4</v>
      </c>
      <c r="N12" s="352">
        <f>'DADOS TÉCNICOS MENSAIS'!M12</f>
        <v>4</v>
      </c>
      <c r="O12" s="352">
        <f>'DADOS TÉCNICOS MENSAIS'!N12</f>
        <v>0</v>
      </c>
    </row>
    <row r="13" spans="1:15" x14ac:dyDescent="0.25">
      <c r="A13" s="242">
        <v>7</v>
      </c>
      <c r="B13" s="243" t="s">
        <v>235</v>
      </c>
      <c r="C13" s="244" t="s">
        <v>351</v>
      </c>
      <c r="D13" s="352">
        <f>'DADOS TÉCNICOS MENSAIS'!C13</f>
        <v>3</v>
      </c>
      <c r="E13" s="352">
        <f>'DADOS TÉCNICOS MENSAIS'!D13</f>
        <v>3</v>
      </c>
      <c r="F13" s="352">
        <f>'DADOS TÉCNICOS MENSAIS'!E13</f>
        <v>3</v>
      </c>
      <c r="G13" s="352">
        <f>'DADOS TÉCNICOS MENSAIS'!F13</f>
        <v>3</v>
      </c>
      <c r="H13" s="352">
        <f>'DADOS TÉCNICOS MENSAIS'!G13</f>
        <v>10</v>
      </c>
      <c r="I13" s="352">
        <f>'DADOS TÉCNICOS MENSAIS'!H13</f>
        <v>10</v>
      </c>
      <c r="J13" s="352">
        <f>'DADOS TÉCNICOS MENSAIS'!I13</f>
        <v>10</v>
      </c>
      <c r="K13" s="352">
        <f>'DADOS TÉCNICOS MENSAIS'!J13</f>
        <v>10</v>
      </c>
      <c r="L13" s="352">
        <f>'DADOS TÉCNICOS MENSAIS'!K13</f>
        <v>10</v>
      </c>
      <c r="M13" s="352">
        <f>'DADOS TÉCNICOS MENSAIS'!L13</f>
        <v>11</v>
      </c>
      <c r="N13" s="352">
        <f>'DADOS TÉCNICOS MENSAIS'!M13</f>
        <v>10</v>
      </c>
      <c r="O13" s="352">
        <f>'DADOS TÉCNICOS MENSAIS'!N13</f>
        <v>11</v>
      </c>
    </row>
    <row r="14" spans="1:15" x14ac:dyDescent="0.25">
      <c r="A14" s="242">
        <v>8</v>
      </c>
      <c r="B14" s="243" t="s">
        <v>314</v>
      </c>
      <c r="C14" s="244" t="s">
        <v>351</v>
      </c>
      <c r="D14" s="352">
        <f>'DADOS TÉCNICOS MENSAIS'!C14</f>
        <v>5</v>
      </c>
      <c r="E14" s="352">
        <f>'DADOS TÉCNICOS MENSAIS'!D14</f>
        <v>5</v>
      </c>
      <c r="F14" s="352">
        <f>'DADOS TÉCNICOS MENSAIS'!E14</f>
        <v>5</v>
      </c>
      <c r="G14" s="352">
        <f>'DADOS TÉCNICOS MENSAIS'!F14</f>
        <v>5</v>
      </c>
      <c r="H14" s="352">
        <f>'DADOS TÉCNICOS MENSAIS'!G14</f>
        <v>1</v>
      </c>
      <c r="I14" s="352">
        <f>'DADOS TÉCNICOS MENSAIS'!H14</f>
        <v>1</v>
      </c>
      <c r="J14" s="352">
        <f>'DADOS TÉCNICOS MENSAIS'!I14</f>
        <v>1</v>
      </c>
      <c r="K14" s="352">
        <f>'DADOS TÉCNICOS MENSAIS'!J14</f>
        <v>1</v>
      </c>
      <c r="L14" s="352">
        <f>'DADOS TÉCNICOS MENSAIS'!K14</f>
        <v>1</v>
      </c>
      <c r="M14" s="352">
        <f>'DADOS TÉCNICOS MENSAIS'!L14</f>
        <v>3</v>
      </c>
      <c r="N14" s="352">
        <f>'DADOS TÉCNICOS MENSAIS'!M14</f>
        <v>3</v>
      </c>
      <c r="O14" s="352">
        <f>'DADOS TÉCNICOS MENSAIS'!N14</f>
        <v>3</v>
      </c>
    </row>
    <row r="15" spans="1:15" x14ac:dyDescent="0.25">
      <c r="A15" s="242">
        <v>9</v>
      </c>
      <c r="B15" s="243" t="s">
        <v>315</v>
      </c>
      <c r="C15" s="244" t="s">
        <v>351</v>
      </c>
      <c r="D15" s="352">
        <f>'DADOS TÉCNICOS MENSAIS'!C15</f>
        <v>0</v>
      </c>
      <c r="E15" s="352">
        <f>'DADOS TÉCNICOS MENSAIS'!D15</f>
        <v>0</v>
      </c>
      <c r="F15" s="352">
        <f>'DADOS TÉCNICOS MENSAIS'!E15</f>
        <v>0</v>
      </c>
      <c r="G15" s="352">
        <f>'DADOS TÉCNICOS MENSAIS'!F15</f>
        <v>0</v>
      </c>
      <c r="H15" s="352">
        <f>'DADOS TÉCNICOS MENSAIS'!G15</f>
        <v>2</v>
      </c>
      <c r="I15" s="352">
        <f>'DADOS TÉCNICOS MENSAIS'!H15</f>
        <v>1</v>
      </c>
      <c r="J15" s="352">
        <f>'DADOS TÉCNICOS MENSAIS'!I15</f>
        <v>1</v>
      </c>
      <c r="K15" s="352">
        <f>'DADOS TÉCNICOS MENSAIS'!J15</f>
        <v>1</v>
      </c>
      <c r="L15" s="352">
        <f>'DADOS TÉCNICOS MENSAIS'!K15</f>
        <v>1</v>
      </c>
      <c r="M15" s="352">
        <f>'DADOS TÉCNICOS MENSAIS'!L15</f>
        <v>1</v>
      </c>
      <c r="N15" s="352">
        <f>'DADOS TÉCNICOS MENSAIS'!M15</f>
        <v>0</v>
      </c>
      <c r="O15" s="352">
        <f>'DADOS TÉCNICOS MENSAIS'!N15</f>
        <v>4</v>
      </c>
    </row>
    <row r="16" spans="1:15" x14ac:dyDescent="0.25">
      <c r="A16" s="242">
        <v>10</v>
      </c>
      <c r="B16" s="243" t="s">
        <v>115</v>
      </c>
      <c r="C16" s="244" t="s">
        <v>351</v>
      </c>
      <c r="D16" s="352">
        <f>'DADOS TÉCNICOS MENSAIS'!C16</f>
        <v>0</v>
      </c>
      <c r="E16" s="352">
        <f>'DADOS TÉCNICOS MENSAIS'!D16</f>
        <v>0</v>
      </c>
      <c r="F16" s="352">
        <f>'DADOS TÉCNICOS MENSAIS'!E16</f>
        <v>0</v>
      </c>
      <c r="G16" s="352">
        <f>'DADOS TÉCNICOS MENSAIS'!F16</f>
        <v>0</v>
      </c>
      <c r="H16" s="352">
        <f>'DADOS TÉCNICOS MENSAIS'!G16</f>
        <v>0</v>
      </c>
      <c r="I16" s="352">
        <f>'DADOS TÉCNICOS MENSAIS'!H16</f>
        <v>0</v>
      </c>
      <c r="J16" s="352">
        <f>'DADOS TÉCNICOS MENSAIS'!I16</f>
        <v>0</v>
      </c>
      <c r="K16" s="352">
        <f>'DADOS TÉCNICOS MENSAIS'!J16</f>
        <v>0</v>
      </c>
      <c r="L16" s="352">
        <f>'DADOS TÉCNICOS MENSAIS'!K16</f>
        <v>0</v>
      </c>
      <c r="M16" s="352">
        <f>'DADOS TÉCNICOS MENSAIS'!L16</f>
        <v>0</v>
      </c>
      <c r="N16" s="352">
        <f>'DADOS TÉCNICOS MENSAIS'!M16</f>
        <v>0</v>
      </c>
      <c r="O16" s="352">
        <f>'DADOS TÉCNICOS MENSAIS'!N16</f>
        <v>0</v>
      </c>
    </row>
    <row r="17" spans="1:15" x14ac:dyDescent="0.25">
      <c r="A17" s="242">
        <v>11</v>
      </c>
      <c r="B17" s="271" t="s">
        <v>55</v>
      </c>
      <c r="C17" s="244" t="s">
        <v>351</v>
      </c>
      <c r="D17" s="352">
        <f>'DADOS TÉCNICOS MENSAIS'!C17</f>
        <v>0</v>
      </c>
      <c r="E17" s="352">
        <f>'DADOS TÉCNICOS MENSAIS'!D17</f>
        <v>0</v>
      </c>
      <c r="F17" s="352">
        <f>'DADOS TÉCNICOS MENSAIS'!E17</f>
        <v>0</v>
      </c>
      <c r="G17" s="352">
        <f>'DADOS TÉCNICOS MENSAIS'!F17</f>
        <v>0</v>
      </c>
      <c r="H17" s="352">
        <f>'DADOS TÉCNICOS MENSAIS'!G17</f>
        <v>0</v>
      </c>
      <c r="I17" s="352">
        <f>'DADOS TÉCNICOS MENSAIS'!H17</f>
        <v>0</v>
      </c>
      <c r="J17" s="352">
        <f>'DADOS TÉCNICOS MENSAIS'!I17</f>
        <v>0</v>
      </c>
      <c r="K17" s="352">
        <f>'DADOS TÉCNICOS MENSAIS'!J17</f>
        <v>0</v>
      </c>
      <c r="L17" s="352">
        <f>'DADOS TÉCNICOS MENSAIS'!K17</f>
        <v>0</v>
      </c>
      <c r="M17" s="352">
        <f>'DADOS TÉCNICOS MENSAIS'!L17</f>
        <v>0</v>
      </c>
      <c r="N17" s="352">
        <f>'DADOS TÉCNICOS MENSAIS'!M17</f>
        <v>0</v>
      </c>
      <c r="O17" s="352">
        <f>'DADOS TÉCNICOS MENSAIS'!N17</f>
        <v>0</v>
      </c>
    </row>
    <row r="18" spans="1:15" x14ac:dyDescent="0.25">
      <c r="A18" s="242">
        <v>12</v>
      </c>
      <c r="B18" s="243" t="s">
        <v>316</v>
      </c>
      <c r="C18" s="244" t="s">
        <v>12</v>
      </c>
      <c r="D18" s="246">
        <f>D11/D10</f>
        <v>0.58333333333333337</v>
      </c>
      <c r="E18" s="246">
        <f t="shared" ref="E18:O18" si="0">E11/E10</f>
        <v>0.58333333333333337</v>
      </c>
      <c r="F18" s="246">
        <f t="shared" si="0"/>
        <v>0.58333333333333337</v>
      </c>
      <c r="G18" s="246">
        <f t="shared" si="0"/>
        <v>0.58333333333333337</v>
      </c>
      <c r="H18" s="246">
        <f t="shared" si="0"/>
        <v>0.42857142857142855</v>
      </c>
      <c r="I18" s="246">
        <f t="shared" si="0"/>
        <v>0.66666666666666663</v>
      </c>
      <c r="J18" s="246">
        <f t="shared" si="0"/>
        <v>0.66666666666666663</v>
      </c>
      <c r="K18" s="246">
        <f t="shared" si="0"/>
        <v>0.66666666666666663</v>
      </c>
      <c r="L18" s="246">
        <f t="shared" si="0"/>
        <v>0.55555555555555558</v>
      </c>
      <c r="M18" s="246">
        <f t="shared" si="0"/>
        <v>0.55555555555555558</v>
      </c>
      <c r="N18" s="246">
        <f t="shared" si="0"/>
        <v>0.55555555555555558</v>
      </c>
      <c r="O18" s="246">
        <f t="shared" si="0"/>
        <v>1</v>
      </c>
    </row>
    <row r="19" spans="1:15" x14ac:dyDescent="0.25">
      <c r="A19" s="242">
        <v>13</v>
      </c>
      <c r="B19" s="243" t="s">
        <v>13</v>
      </c>
      <c r="C19" s="244" t="s">
        <v>12</v>
      </c>
      <c r="D19" s="246">
        <f>D11/D9</f>
        <v>0.35</v>
      </c>
      <c r="E19" s="246">
        <f t="shared" ref="E19:O19" si="1">E11/E9</f>
        <v>0.35</v>
      </c>
      <c r="F19" s="246">
        <f t="shared" si="1"/>
        <v>0.35</v>
      </c>
      <c r="G19" s="246">
        <f t="shared" si="1"/>
        <v>0.35</v>
      </c>
      <c r="H19" s="246">
        <f t="shared" si="1"/>
        <v>0.22222222222222221</v>
      </c>
      <c r="I19" s="246">
        <f t="shared" si="1"/>
        <v>0.2857142857142857</v>
      </c>
      <c r="J19" s="246">
        <f t="shared" si="1"/>
        <v>0.2857142857142857</v>
      </c>
      <c r="K19" s="246">
        <f t="shared" si="1"/>
        <v>0.2857142857142857</v>
      </c>
      <c r="L19" s="246">
        <f t="shared" si="1"/>
        <v>0.23809523809523808</v>
      </c>
      <c r="M19" s="246">
        <f t="shared" si="1"/>
        <v>0.20833333333333334</v>
      </c>
      <c r="N19" s="246">
        <f t="shared" si="1"/>
        <v>0.22727272727272727</v>
      </c>
      <c r="O19" s="246">
        <f t="shared" si="1"/>
        <v>0.33333333333333331</v>
      </c>
    </row>
    <row r="20" spans="1:15" x14ac:dyDescent="0.25">
      <c r="A20" s="242">
        <v>14</v>
      </c>
      <c r="B20" s="243" t="s">
        <v>326</v>
      </c>
      <c r="C20" s="244" t="s">
        <v>462</v>
      </c>
      <c r="D20" s="147">
        <f>D11/D8</f>
        <v>2.8</v>
      </c>
      <c r="E20" s="147">
        <f t="shared" ref="E20:O20" si="2">E11/E8</f>
        <v>2.8</v>
      </c>
      <c r="F20" s="147">
        <f t="shared" si="2"/>
        <v>2.8</v>
      </c>
      <c r="G20" s="147">
        <f t="shared" si="2"/>
        <v>2.8</v>
      </c>
      <c r="H20" s="147">
        <f t="shared" si="2"/>
        <v>2.4</v>
      </c>
      <c r="I20" s="147">
        <f t="shared" si="2"/>
        <v>2.4</v>
      </c>
      <c r="J20" s="147">
        <f t="shared" si="2"/>
        <v>2.4</v>
      </c>
      <c r="K20" s="147">
        <f t="shared" si="2"/>
        <v>2.4</v>
      </c>
      <c r="L20" s="147">
        <f t="shared" si="2"/>
        <v>2</v>
      </c>
      <c r="M20" s="147">
        <f t="shared" si="2"/>
        <v>2</v>
      </c>
      <c r="N20" s="147">
        <f t="shared" si="2"/>
        <v>2</v>
      </c>
      <c r="O20" s="147">
        <f t="shared" si="2"/>
        <v>3.6</v>
      </c>
    </row>
    <row r="21" spans="1:15" x14ac:dyDescent="0.25">
      <c r="A21" s="242">
        <v>15</v>
      </c>
      <c r="B21" s="243" t="s">
        <v>355</v>
      </c>
      <c r="C21" s="244" t="s">
        <v>463</v>
      </c>
      <c r="D21" s="147" t="e">
        <f>D11/'DADOS ECONÔMICOS MENSAIS'!B16</f>
        <v>#DIV/0!</v>
      </c>
      <c r="E21" s="147" t="e">
        <f>E11/'DADOS ECONÔMICOS MENSAIS'!E16</f>
        <v>#DIV/0!</v>
      </c>
      <c r="F21" s="147" t="e">
        <f>F11/'DADOS ECONÔMICOS MENSAIS'!H16</f>
        <v>#DIV/0!</v>
      </c>
      <c r="G21" s="147" t="e">
        <f>G11/'DADOS ECONÔMICOS MENSAIS'!K16</f>
        <v>#DIV/0!</v>
      </c>
      <c r="H21" s="147" t="e">
        <f>H11/'DADOS ECONÔMICOS MENSAIS'!N16</f>
        <v>#DIV/0!</v>
      </c>
      <c r="I21" s="147" t="e">
        <f>I11/'DADOS ECONÔMICOS MENSAIS'!Q16</f>
        <v>#DIV/0!</v>
      </c>
      <c r="J21" s="147">
        <f>J11/'DADOS ECONÔMICOS MENSAIS'!T16</f>
        <v>0.75</v>
      </c>
      <c r="K21" s="147" t="e">
        <f>K11/'DADOS ECONÔMICOS MENSAIS'!W16</f>
        <v>#DIV/0!</v>
      </c>
      <c r="L21" s="147" t="e">
        <f>L11/'DADOS ECONÔMICOS MENSAIS'!Z16</f>
        <v>#DIV/0!</v>
      </c>
      <c r="M21" s="147" t="e">
        <f>M11/'DADOS ECONÔMICOS MENSAIS'!AC16</f>
        <v>#DIV/0!</v>
      </c>
      <c r="N21" s="147" t="e">
        <f>N11/'DADOS ECONÔMICOS MENSAIS'!AF16</f>
        <v>#DIV/0!</v>
      </c>
      <c r="O21" s="147" t="e">
        <f>O11/'DADOS ECONÔMICOS MENSAIS'!AI16</f>
        <v>#DIV/0!</v>
      </c>
    </row>
    <row r="22" spans="1:15" x14ac:dyDescent="0.25">
      <c r="A22" s="242">
        <v>16</v>
      </c>
      <c r="B22" s="243" t="s">
        <v>328</v>
      </c>
      <c r="C22" s="244" t="s">
        <v>9</v>
      </c>
      <c r="D22" s="147">
        <f>D7/D11/30</f>
        <v>9.0952380952380949</v>
      </c>
      <c r="E22" s="147">
        <f t="shared" ref="E22:O22" si="3">E7/E11/30</f>
        <v>10.952380952380953</v>
      </c>
      <c r="F22" s="147">
        <f t="shared" si="3"/>
        <v>11.219047619047618</v>
      </c>
      <c r="G22" s="147">
        <f t="shared" si="3"/>
        <v>9.7142857142857153</v>
      </c>
      <c r="H22" s="147">
        <f t="shared" si="3"/>
        <v>9.8166666666666664</v>
      </c>
      <c r="I22" s="147">
        <f t="shared" si="3"/>
        <v>12.355555555555556</v>
      </c>
      <c r="J22" s="147">
        <f t="shared" si="3"/>
        <v>10.583333333333334</v>
      </c>
      <c r="K22" s="147">
        <f t="shared" si="3"/>
        <v>9.4277777777777771</v>
      </c>
      <c r="L22" s="147">
        <f t="shared" si="3"/>
        <v>10.293333333333333</v>
      </c>
      <c r="M22" s="147">
        <f t="shared" si="3"/>
        <v>9.32</v>
      </c>
      <c r="N22" s="147">
        <f t="shared" si="3"/>
        <v>18.82</v>
      </c>
      <c r="O22" s="147">
        <f t="shared" si="3"/>
        <v>0</v>
      </c>
    </row>
    <row r="23" spans="1:15" x14ac:dyDescent="0.25">
      <c r="A23" s="242">
        <v>17</v>
      </c>
      <c r="B23" s="243" t="s">
        <v>331</v>
      </c>
      <c r="C23" s="244" t="s">
        <v>14</v>
      </c>
      <c r="D23" s="247" t="e">
        <f>D7/'DADOS ECONÔMICOS MENSAIS'!B16</f>
        <v>#DIV/0!</v>
      </c>
      <c r="E23" s="247" t="e">
        <f>E7/'DADOS ECONÔMICOS MENSAIS'!E16</f>
        <v>#DIV/0!</v>
      </c>
      <c r="F23" s="247" t="e">
        <f>F7/'DADOS ECONÔMICOS MENSAIS'!H16</f>
        <v>#DIV/0!</v>
      </c>
      <c r="G23" s="247" t="e">
        <f>G7/'DADOS ECONÔMICOS MENSAIS'!K16</f>
        <v>#DIV/0!</v>
      </c>
      <c r="H23" s="247" t="e">
        <f>H7/'DADOS ECONÔMICOS MENSAIS'!N16</f>
        <v>#DIV/0!</v>
      </c>
      <c r="I23" s="247" t="e">
        <f>I7/'DADOS ECONÔMICOS MENSAIS'!Q16</f>
        <v>#DIV/0!</v>
      </c>
      <c r="J23" s="247">
        <f>J7/'DADOS ECONÔMICOS MENSAIS'!T16</f>
        <v>238.125</v>
      </c>
      <c r="K23" s="247" t="e">
        <f>K7/'DADOS ECONÔMICOS MENSAIS'!W16</f>
        <v>#DIV/0!</v>
      </c>
      <c r="L23" s="247" t="e">
        <f>L7/'DADOS ECONÔMICOS MENSAIS'!Z16</f>
        <v>#DIV/0!</v>
      </c>
      <c r="M23" s="247" t="e">
        <f>M7/'DADOS ECONÔMICOS MENSAIS'!AC16</f>
        <v>#DIV/0!</v>
      </c>
      <c r="N23" s="247" t="e">
        <f>N7/'DADOS ECONÔMICOS MENSAIS'!AF16</f>
        <v>#DIV/0!</v>
      </c>
      <c r="O23" s="247" t="e">
        <f>O7/'DADOS ECONÔMICOS MENSAIS'!AI16</f>
        <v>#DIV/0!</v>
      </c>
    </row>
    <row r="24" spans="1:15" x14ac:dyDescent="0.25">
      <c r="A24" s="242">
        <v>18</v>
      </c>
      <c r="B24" s="243" t="s">
        <v>15</v>
      </c>
      <c r="C24" s="244" t="s">
        <v>332</v>
      </c>
      <c r="D24" s="249">
        <f>D7/D8</f>
        <v>764</v>
      </c>
      <c r="E24" s="249">
        <f t="shared" ref="E24:O24" si="4">E7/E8</f>
        <v>920</v>
      </c>
      <c r="F24" s="249">
        <f t="shared" si="4"/>
        <v>942.4</v>
      </c>
      <c r="G24" s="249">
        <f t="shared" si="4"/>
        <v>816</v>
      </c>
      <c r="H24" s="249">
        <f t="shared" si="4"/>
        <v>706.8</v>
      </c>
      <c r="I24" s="249">
        <f t="shared" si="4"/>
        <v>889.6</v>
      </c>
      <c r="J24" s="249">
        <f t="shared" si="4"/>
        <v>762</v>
      </c>
      <c r="K24" s="249">
        <f t="shared" si="4"/>
        <v>678.8</v>
      </c>
      <c r="L24" s="249">
        <f t="shared" si="4"/>
        <v>617.6</v>
      </c>
      <c r="M24" s="249">
        <f t="shared" si="4"/>
        <v>559.20000000000005</v>
      </c>
      <c r="N24" s="249">
        <f t="shared" si="4"/>
        <v>1129.2</v>
      </c>
      <c r="O24" s="249">
        <f t="shared" si="4"/>
        <v>0</v>
      </c>
    </row>
    <row r="25" spans="1:15" x14ac:dyDescent="0.25">
      <c r="A25" s="242">
        <v>19</v>
      </c>
      <c r="B25" s="243"/>
      <c r="C25" s="244"/>
      <c r="D25" s="147"/>
      <c r="E25" s="245"/>
      <c r="F25" s="245"/>
      <c r="G25" s="245"/>
      <c r="H25" s="245"/>
      <c r="I25" s="245"/>
      <c r="J25" s="245"/>
      <c r="K25" s="245"/>
      <c r="L25" s="245"/>
      <c r="M25" s="245"/>
      <c r="N25" s="245"/>
      <c r="O25" s="245"/>
    </row>
    <row r="26" spans="1:15" x14ac:dyDescent="0.25">
      <c r="A26" s="242">
        <v>20</v>
      </c>
      <c r="B26" s="243"/>
      <c r="C26" s="244"/>
      <c r="D26" s="147"/>
      <c r="E26" s="245"/>
      <c r="F26" s="245"/>
      <c r="G26" s="245"/>
      <c r="H26" s="245"/>
      <c r="I26" s="245"/>
      <c r="J26" s="245"/>
      <c r="K26" s="245"/>
      <c r="L26" s="245"/>
      <c r="M26" s="245"/>
      <c r="N26" s="245"/>
      <c r="O26" s="245"/>
    </row>
    <row r="27" spans="1:15" s="241" customFormat="1" x14ac:dyDescent="0.25">
      <c r="A27" s="483" t="s">
        <v>1</v>
      </c>
      <c r="B27" s="272" t="s">
        <v>107</v>
      </c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5"/>
      <c r="O27" s="275"/>
    </row>
    <row r="28" spans="1:15" x14ac:dyDescent="0.25">
      <c r="A28" s="486">
        <v>1</v>
      </c>
      <c r="B28" s="485" t="s">
        <v>273</v>
      </c>
      <c r="C28" s="245"/>
      <c r="D28" s="351">
        <f>'DADOS TÉCNICOS MENSAIS'!C23</f>
        <v>0</v>
      </c>
      <c r="E28" s="351">
        <f>'DADOS TÉCNICOS MENSAIS'!D23</f>
        <v>0</v>
      </c>
      <c r="F28" s="351">
        <f>'DADOS TÉCNICOS MENSAIS'!E23</f>
        <v>0</v>
      </c>
      <c r="G28" s="351">
        <f>'DADOS TÉCNICOS MENSAIS'!F23</f>
        <v>0</v>
      </c>
      <c r="H28" s="351">
        <f>'DADOS TÉCNICOS MENSAIS'!G23</f>
        <v>0</v>
      </c>
      <c r="I28" s="351">
        <f>'DADOS TÉCNICOS MENSAIS'!H23</f>
        <v>0</v>
      </c>
      <c r="J28" s="351">
        <f>'DADOS TÉCNICOS MENSAIS'!I23</f>
        <v>0</v>
      </c>
      <c r="K28" s="351">
        <f>'DADOS TÉCNICOS MENSAIS'!J23</f>
        <v>0</v>
      </c>
      <c r="L28" s="351">
        <f>'DADOS TÉCNICOS MENSAIS'!K23</f>
        <v>0</v>
      </c>
      <c r="M28" s="351">
        <f>'DADOS TÉCNICOS MENSAIS'!L23</f>
        <v>0</v>
      </c>
      <c r="N28" s="351">
        <f>'DADOS TÉCNICOS MENSAIS'!M23</f>
        <v>0</v>
      </c>
      <c r="O28" s="351">
        <f>'DADOS TÉCNICOS MENSAIS'!N23</f>
        <v>0</v>
      </c>
    </row>
    <row r="29" spans="1:15" x14ac:dyDescent="0.25">
      <c r="A29" s="486">
        <v>2</v>
      </c>
      <c r="B29" s="485" t="s">
        <v>274</v>
      </c>
      <c r="C29" s="245"/>
      <c r="D29" s="351">
        <f>'DADOS TÉCNICOS MENSAIS'!C24</f>
        <v>1</v>
      </c>
      <c r="E29" s="351">
        <f>'DADOS TÉCNICOS MENSAIS'!D24</f>
        <v>0</v>
      </c>
      <c r="F29" s="351">
        <f>'DADOS TÉCNICOS MENSAIS'!E24</f>
        <v>0</v>
      </c>
      <c r="G29" s="351">
        <f>'DADOS TÉCNICOS MENSAIS'!F24</f>
        <v>0</v>
      </c>
      <c r="H29" s="351">
        <f>'DADOS TÉCNICOS MENSAIS'!G24</f>
        <v>0</v>
      </c>
      <c r="I29" s="351">
        <f>'DADOS TÉCNICOS MENSAIS'!H24</f>
        <v>0</v>
      </c>
      <c r="J29" s="351">
        <f>'DADOS TÉCNICOS MENSAIS'!I24</f>
        <v>0</v>
      </c>
      <c r="K29" s="351">
        <f>'DADOS TÉCNICOS MENSAIS'!J24</f>
        <v>0</v>
      </c>
      <c r="L29" s="351">
        <f>'DADOS TÉCNICOS MENSAIS'!K24</f>
        <v>0</v>
      </c>
      <c r="M29" s="351">
        <f>'DADOS TÉCNICOS MENSAIS'!L24</f>
        <v>0</v>
      </c>
      <c r="N29" s="351">
        <f>'DADOS TÉCNICOS MENSAIS'!M24</f>
        <v>0</v>
      </c>
      <c r="O29" s="351">
        <f>'DADOS TÉCNICOS MENSAIS'!N24</f>
        <v>0</v>
      </c>
    </row>
    <row r="30" spans="1:15" x14ac:dyDescent="0.25">
      <c r="A30" s="486">
        <v>3</v>
      </c>
      <c r="B30" s="485" t="s">
        <v>275</v>
      </c>
      <c r="C30" s="245"/>
      <c r="D30" s="351">
        <f>'DADOS TÉCNICOS MENSAIS'!C25</f>
        <v>2</v>
      </c>
      <c r="E30" s="351">
        <f>'DADOS TÉCNICOS MENSAIS'!D25</f>
        <v>0</v>
      </c>
      <c r="F30" s="351">
        <f>'DADOS TÉCNICOS MENSAIS'!E25</f>
        <v>0</v>
      </c>
      <c r="G30" s="351">
        <f>'DADOS TÉCNICOS MENSAIS'!F25</f>
        <v>0</v>
      </c>
      <c r="H30" s="351">
        <f>'DADOS TÉCNICOS MENSAIS'!G25</f>
        <v>1</v>
      </c>
      <c r="I30" s="351">
        <f>'DADOS TÉCNICOS MENSAIS'!H25</f>
        <v>0</v>
      </c>
      <c r="J30" s="351">
        <f>'DADOS TÉCNICOS MENSAIS'!I25</f>
        <v>0</v>
      </c>
      <c r="K30" s="351">
        <f>'DADOS TÉCNICOS MENSAIS'!J25</f>
        <v>0</v>
      </c>
      <c r="L30" s="351">
        <f>'DADOS TÉCNICOS MENSAIS'!K25</f>
        <v>0</v>
      </c>
      <c r="M30" s="351">
        <f>'DADOS TÉCNICOS MENSAIS'!L25</f>
        <v>1</v>
      </c>
      <c r="N30" s="351">
        <f>'DADOS TÉCNICOS MENSAIS'!M25</f>
        <v>0</v>
      </c>
      <c r="O30" s="351">
        <f>'DADOS TÉCNICOS MENSAIS'!N25</f>
        <v>1</v>
      </c>
    </row>
    <row r="31" spans="1:15" x14ac:dyDescent="0.25">
      <c r="A31" s="486">
        <v>4</v>
      </c>
      <c r="B31" s="485" t="s">
        <v>276</v>
      </c>
      <c r="C31" s="245"/>
      <c r="D31" s="351">
        <f>'DADOS TÉCNICOS MENSAIS'!C26</f>
        <v>1</v>
      </c>
      <c r="E31" s="351">
        <f>'DADOS TÉCNICOS MENSAIS'!D26</f>
        <v>0</v>
      </c>
      <c r="F31" s="351">
        <f>'DADOS TÉCNICOS MENSAIS'!E26</f>
        <v>0</v>
      </c>
      <c r="G31" s="351">
        <f>'DADOS TÉCNICOS MENSAIS'!F26</f>
        <v>0</v>
      </c>
      <c r="H31" s="351">
        <f>'DADOS TÉCNICOS MENSAIS'!G26</f>
        <v>0</v>
      </c>
      <c r="I31" s="351">
        <f>'DADOS TÉCNICOS MENSAIS'!H26</f>
        <v>0</v>
      </c>
      <c r="J31" s="351">
        <f>'DADOS TÉCNICOS MENSAIS'!I26</f>
        <v>0</v>
      </c>
      <c r="K31" s="351">
        <f>'DADOS TÉCNICOS MENSAIS'!J26</f>
        <v>0</v>
      </c>
      <c r="L31" s="351">
        <f>'DADOS TÉCNICOS MENSAIS'!K26</f>
        <v>0</v>
      </c>
      <c r="M31" s="351">
        <f>'DADOS TÉCNICOS MENSAIS'!L26</f>
        <v>0</v>
      </c>
      <c r="N31" s="351">
        <f>'DADOS TÉCNICOS MENSAIS'!M26</f>
        <v>0</v>
      </c>
      <c r="O31" s="351">
        <f>'DADOS TÉCNICOS MENSAIS'!N26</f>
        <v>0</v>
      </c>
    </row>
    <row r="32" spans="1:15" x14ac:dyDescent="0.25">
      <c r="A32" s="486">
        <v>5</v>
      </c>
      <c r="B32" s="485" t="s">
        <v>277</v>
      </c>
      <c r="C32" s="245"/>
      <c r="D32" s="351">
        <f>'DADOS TÉCNICOS MENSAIS'!C27</f>
        <v>0</v>
      </c>
      <c r="E32" s="351">
        <f>'DADOS TÉCNICOS MENSAIS'!D27</f>
        <v>0</v>
      </c>
      <c r="F32" s="351">
        <f>'DADOS TÉCNICOS MENSAIS'!E27</f>
        <v>0</v>
      </c>
      <c r="G32" s="351">
        <f>'DADOS TÉCNICOS MENSAIS'!F27</f>
        <v>0</v>
      </c>
      <c r="H32" s="351">
        <f>'DADOS TÉCNICOS MENSAIS'!G27</f>
        <v>0</v>
      </c>
      <c r="I32" s="351">
        <f>'DADOS TÉCNICOS MENSAIS'!H27</f>
        <v>0</v>
      </c>
      <c r="J32" s="351">
        <f>'DADOS TÉCNICOS MENSAIS'!I27</f>
        <v>0</v>
      </c>
      <c r="K32" s="351">
        <f>'DADOS TÉCNICOS MENSAIS'!J27</f>
        <v>0</v>
      </c>
      <c r="L32" s="351">
        <f>'DADOS TÉCNICOS MENSAIS'!K27</f>
        <v>0</v>
      </c>
      <c r="M32" s="351">
        <f>'DADOS TÉCNICOS MENSAIS'!L27</f>
        <v>0</v>
      </c>
      <c r="N32" s="351">
        <f>'DADOS TÉCNICOS MENSAIS'!M27</f>
        <v>0</v>
      </c>
      <c r="O32" s="351">
        <f>'DADOS TÉCNICOS MENSAIS'!N27</f>
        <v>1</v>
      </c>
    </row>
    <row r="33" spans="1:15" x14ac:dyDescent="0.25">
      <c r="A33" s="486">
        <v>6</v>
      </c>
      <c r="B33" s="485" t="s">
        <v>278</v>
      </c>
      <c r="C33" s="245"/>
      <c r="D33" s="351">
        <f>'DADOS TÉCNICOS MENSAIS'!C28</f>
        <v>0</v>
      </c>
      <c r="E33" s="351">
        <f>'DADOS TÉCNICOS MENSAIS'!D28</f>
        <v>0</v>
      </c>
      <c r="F33" s="351">
        <f>'DADOS TÉCNICOS MENSAIS'!E28</f>
        <v>0</v>
      </c>
      <c r="G33" s="351">
        <f>'DADOS TÉCNICOS MENSAIS'!F28</f>
        <v>0</v>
      </c>
      <c r="H33" s="351">
        <f>'DADOS TÉCNICOS MENSAIS'!G28</f>
        <v>0</v>
      </c>
      <c r="I33" s="351">
        <f>'DADOS TÉCNICOS MENSAIS'!H28</f>
        <v>0</v>
      </c>
      <c r="J33" s="351">
        <f>'DADOS TÉCNICOS MENSAIS'!I28</f>
        <v>0</v>
      </c>
      <c r="K33" s="351">
        <f>'DADOS TÉCNICOS MENSAIS'!J28</f>
        <v>0</v>
      </c>
      <c r="L33" s="351">
        <f>'DADOS TÉCNICOS MENSAIS'!K28</f>
        <v>0</v>
      </c>
      <c r="M33" s="351">
        <f>'DADOS TÉCNICOS MENSAIS'!L28</f>
        <v>0</v>
      </c>
      <c r="N33" s="351">
        <f>'DADOS TÉCNICOS MENSAIS'!M28</f>
        <v>0</v>
      </c>
      <c r="O33" s="351">
        <f>'DADOS TÉCNICOS MENSAIS'!N28</f>
        <v>0</v>
      </c>
    </row>
    <row r="34" spans="1:15" x14ac:dyDescent="0.25">
      <c r="A34" s="486">
        <v>7</v>
      </c>
      <c r="B34" s="485" t="s">
        <v>279</v>
      </c>
      <c r="C34" s="245"/>
      <c r="D34" s="351">
        <f>'DADOS TÉCNICOS MENSAIS'!C29</f>
        <v>0</v>
      </c>
      <c r="E34" s="351">
        <f>'DADOS TÉCNICOS MENSAIS'!D29</f>
        <v>0</v>
      </c>
      <c r="F34" s="351">
        <f>'DADOS TÉCNICOS MENSAIS'!E29</f>
        <v>0</v>
      </c>
      <c r="G34" s="351">
        <f>'DADOS TÉCNICOS MENSAIS'!F29</f>
        <v>0</v>
      </c>
      <c r="H34" s="351">
        <f>'DADOS TÉCNICOS MENSAIS'!G29</f>
        <v>0</v>
      </c>
      <c r="I34" s="351">
        <f>'DADOS TÉCNICOS MENSAIS'!H29</f>
        <v>0</v>
      </c>
      <c r="J34" s="351">
        <f>'DADOS TÉCNICOS MENSAIS'!I29</f>
        <v>0</v>
      </c>
      <c r="K34" s="351">
        <f>'DADOS TÉCNICOS MENSAIS'!J29</f>
        <v>0</v>
      </c>
      <c r="L34" s="351">
        <f>'DADOS TÉCNICOS MENSAIS'!K29</f>
        <v>0</v>
      </c>
      <c r="M34" s="351">
        <f>'DADOS TÉCNICOS MENSAIS'!L29</f>
        <v>0</v>
      </c>
      <c r="N34" s="351">
        <f>'DADOS TÉCNICOS MENSAIS'!M29</f>
        <v>0</v>
      </c>
      <c r="O34" s="351">
        <f>'DADOS TÉCNICOS MENSAIS'!N29</f>
        <v>0</v>
      </c>
    </row>
    <row r="35" spans="1:15" x14ac:dyDescent="0.25">
      <c r="A35" s="486">
        <v>8</v>
      </c>
      <c r="B35" s="485" t="s">
        <v>280</v>
      </c>
      <c r="C35" s="245"/>
      <c r="D35" s="351">
        <f>'DADOS TÉCNICOS MENSAIS'!C30</f>
        <v>0</v>
      </c>
      <c r="E35" s="351">
        <f>'DADOS TÉCNICOS MENSAIS'!D30</f>
        <v>0</v>
      </c>
      <c r="F35" s="351">
        <f>'DADOS TÉCNICOS MENSAIS'!E30</f>
        <v>0</v>
      </c>
      <c r="G35" s="351">
        <f>'DADOS TÉCNICOS MENSAIS'!F30</f>
        <v>0</v>
      </c>
      <c r="H35" s="351">
        <f>'DADOS TÉCNICOS MENSAIS'!G30</f>
        <v>0</v>
      </c>
      <c r="I35" s="351">
        <f>'DADOS TÉCNICOS MENSAIS'!H30</f>
        <v>0</v>
      </c>
      <c r="J35" s="351">
        <f>'DADOS TÉCNICOS MENSAIS'!I30</f>
        <v>0</v>
      </c>
      <c r="K35" s="351">
        <f>'DADOS TÉCNICOS MENSAIS'!J30</f>
        <v>0</v>
      </c>
      <c r="L35" s="351">
        <f>'DADOS TÉCNICOS MENSAIS'!K30</f>
        <v>0</v>
      </c>
      <c r="M35" s="351">
        <f>'DADOS TÉCNICOS MENSAIS'!L30</f>
        <v>0</v>
      </c>
      <c r="N35" s="351">
        <f>'DADOS TÉCNICOS MENSAIS'!M30</f>
        <v>0</v>
      </c>
      <c r="O35" s="351">
        <f>'DADOS TÉCNICOS MENSAIS'!N30</f>
        <v>0</v>
      </c>
    </row>
    <row r="36" spans="1:15" x14ac:dyDescent="0.25">
      <c r="A36" s="486">
        <v>9</v>
      </c>
      <c r="B36" s="481"/>
      <c r="C36" s="244"/>
      <c r="D36" s="247"/>
      <c r="E36" s="248"/>
      <c r="F36" s="248"/>
      <c r="G36" s="248"/>
      <c r="H36" s="248"/>
      <c r="I36" s="248"/>
      <c r="J36" s="248"/>
      <c r="K36" s="248"/>
      <c r="L36" s="248"/>
      <c r="M36" s="248"/>
      <c r="N36" s="248"/>
      <c r="O36" s="248"/>
    </row>
    <row r="37" spans="1:15" s="241" customFormat="1" x14ac:dyDescent="0.25">
      <c r="A37" s="484"/>
      <c r="B37" s="272"/>
      <c r="C37" s="273"/>
      <c r="D37" s="277"/>
      <c r="E37" s="278"/>
      <c r="F37" s="278"/>
      <c r="G37" s="278"/>
      <c r="H37" s="278"/>
      <c r="I37" s="278"/>
      <c r="J37" s="278"/>
      <c r="K37" s="278"/>
      <c r="L37" s="278"/>
      <c r="M37" s="278"/>
      <c r="N37" s="278"/>
      <c r="O37" s="278"/>
    </row>
    <row r="38" spans="1:15" x14ac:dyDescent="0.25">
      <c r="A38" s="242"/>
      <c r="B38" s="332"/>
      <c r="C38" s="244"/>
      <c r="D38" s="147"/>
      <c r="E38" s="245"/>
      <c r="F38" s="245"/>
      <c r="G38" s="245"/>
      <c r="H38" s="245"/>
      <c r="I38" s="245"/>
      <c r="J38" s="245"/>
      <c r="K38" s="245"/>
      <c r="L38" s="245"/>
      <c r="M38" s="245"/>
      <c r="N38" s="245"/>
      <c r="O38" s="245"/>
    </row>
    <row r="39" spans="1:15" x14ac:dyDescent="0.25">
      <c r="A39" s="242"/>
      <c r="B39" s="332"/>
      <c r="C39" s="244"/>
      <c r="D39" s="147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</row>
    <row r="40" spans="1:15" x14ac:dyDescent="0.25">
      <c r="A40" s="242"/>
      <c r="B40" s="332"/>
      <c r="C40" s="244"/>
      <c r="D40" s="147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5"/>
    </row>
    <row r="41" spans="1:15" x14ac:dyDescent="0.25">
      <c r="A41" s="242"/>
      <c r="B41" s="332"/>
      <c r="C41" s="244"/>
      <c r="D41" s="147"/>
      <c r="E41" s="245"/>
      <c r="F41" s="245"/>
      <c r="G41" s="245"/>
      <c r="H41" s="245"/>
      <c r="I41" s="245"/>
      <c r="J41" s="245"/>
      <c r="K41" s="245"/>
      <c r="L41" s="245"/>
      <c r="M41" s="245"/>
      <c r="N41" s="245"/>
      <c r="O41" s="245"/>
    </row>
    <row r="42" spans="1:15" x14ac:dyDescent="0.25">
      <c r="A42" s="242"/>
      <c r="B42" s="332"/>
      <c r="C42" s="244"/>
      <c r="D42" s="147"/>
      <c r="E42" s="245"/>
      <c r="F42" s="245"/>
      <c r="G42" s="245"/>
      <c r="H42" s="245"/>
      <c r="I42" s="245"/>
      <c r="J42" s="245"/>
      <c r="K42" s="245"/>
      <c r="L42" s="245"/>
      <c r="M42" s="245"/>
      <c r="N42" s="245"/>
      <c r="O42" s="245"/>
    </row>
    <row r="43" spans="1:15" x14ac:dyDescent="0.25">
      <c r="A43" s="242"/>
      <c r="B43" s="243"/>
      <c r="C43" s="244"/>
      <c r="D43" s="147"/>
      <c r="E43" s="245"/>
      <c r="F43" s="245"/>
      <c r="G43" s="245"/>
      <c r="H43" s="245"/>
      <c r="I43" s="245"/>
      <c r="J43" s="245"/>
      <c r="K43" s="245"/>
      <c r="L43" s="245"/>
      <c r="M43" s="245"/>
      <c r="N43" s="245"/>
      <c r="O43" s="245"/>
    </row>
    <row r="44" spans="1:15" x14ac:dyDescent="0.25">
      <c r="A44" s="242"/>
      <c r="B44" s="243"/>
      <c r="C44" s="244"/>
      <c r="D44" s="147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45"/>
    </row>
    <row r="45" spans="1:15" x14ac:dyDescent="0.25">
      <c r="A45" s="242"/>
      <c r="B45" s="243"/>
      <c r="C45" s="244"/>
      <c r="D45" s="147"/>
      <c r="E45" s="245"/>
      <c r="F45" s="245"/>
      <c r="G45" s="245"/>
      <c r="H45" s="245"/>
      <c r="I45" s="245"/>
      <c r="J45" s="245"/>
      <c r="K45" s="245"/>
      <c r="L45" s="245"/>
      <c r="M45" s="245"/>
      <c r="N45" s="245"/>
      <c r="O45" s="245"/>
    </row>
    <row r="46" spans="1:15" x14ac:dyDescent="0.25">
      <c r="A46" s="242"/>
      <c r="B46" s="243"/>
      <c r="C46" s="244"/>
      <c r="D46" s="147"/>
      <c r="E46" s="245"/>
      <c r="F46" s="245"/>
      <c r="G46" s="245"/>
      <c r="H46" s="245"/>
      <c r="I46" s="245"/>
      <c r="J46" s="245"/>
      <c r="K46" s="245"/>
      <c r="L46" s="245"/>
      <c r="M46" s="245"/>
      <c r="N46" s="245"/>
      <c r="O46" s="245"/>
    </row>
    <row r="47" spans="1:15" x14ac:dyDescent="0.25">
      <c r="A47" s="242"/>
      <c r="B47" s="243"/>
      <c r="C47" s="244"/>
      <c r="D47" s="147"/>
      <c r="E47" s="245"/>
      <c r="F47" s="245"/>
      <c r="G47" s="245"/>
      <c r="H47" s="245"/>
      <c r="I47" s="245"/>
      <c r="J47" s="245"/>
      <c r="K47" s="245"/>
      <c r="L47" s="245"/>
      <c r="M47" s="245"/>
      <c r="N47" s="245"/>
      <c r="O47" s="245"/>
    </row>
    <row r="48" spans="1:15" x14ac:dyDescent="0.25">
      <c r="A48" s="242"/>
      <c r="B48" s="243"/>
      <c r="C48" s="244"/>
      <c r="D48" s="147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</row>
    <row r="49" spans="1:15" x14ac:dyDescent="0.25">
      <c r="A49" s="242"/>
      <c r="B49" s="243"/>
      <c r="C49" s="244"/>
      <c r="D49" s="147"/>
      <c r="E49" s="245"/>
      <c r="F49" s="245"/>
      <c r="G49" s="245"/>
      <c r="H49" s="245"/>
      <c r="I49" s="245"/>
      <c r="J49" s="245"/>
      <c r="K49" s="245"/>
      <c r="L49" s="245"/>
      <c r="M49" s="245"/>
      <c r="N49" s="245"/>
      <c r="O49" s="245"/>
    </row>
    <row r="50" spans="1:15" x14ac:dyDescent="0.25">
      <c r="A50" s="242"/>
      <c r="B50" s="243"/>
      <c r="C50" s="244"/>
      <c r="D50" s="147"/>
      <c r="E50" s="245"/>
      <c r="F50" s="245"/>
      <c r="G50" s="245"/>
      <c r="H50" s="245"/>
      <c r="I50" s="245"/>
      <c r="J50" s="245"/>
      <c r="K50" s="245"/>
      <c r="L50" s="245"/>
      <c r="M50" s="245"/>
      <c r="N50" s="245"/>
      <c r="O50" s="245"/>
    </row>
    <row r="51" spans="1:15" x14ac:dyDescent="0.25">
      <c r="A51" s="242"/>
      <c r="B51" s="243"/>
      <c r="C51" s="244"/>
      <c r="D51" s="147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</row>
    <row r="52" spans="1:15" x14ac:dyDescent="0.25">
      <c r="A52" s="242"/>
      <c r="B52" s="243"/>
      <c r="C52" s="244"/>
      <c r="D52" s="147"/>
      <c r="E52" s="245"/>
      <c r="F52" s="245"/>
      <c r="G52" s="245"/>
      <c r="H52" s="245"/>
      <c r="I52" s="245"/>
      <c r="J52" s="245"/>
      <c r="K52" s="245"/>
      <c r="L52" s="245"/>
      <c r="M52" s="245"/>
      <c r="N52" s="245"/>
      <c r="O52" s="245"/>
    </row>
    <row r="53" spans="1:15" x14ac:dyDescent="0.25">
      <c r="A53" s="242"/>
      <c r="B53" s="243"/>
      <c r="C53" s="244"/>
      <c r="D53" s="147"/>
      <c r="E53" s="245"/>
      <c r="F53" s="245"/>
      <c r="G53" s="245"/>
      <c r="H53" s="245"/>
      <c r="I53" s="245"/>
      <c r="J53" s="245"/>
      <c r="K53" s="245"/>
      <c r="L53" s="245"/>
      <c r="M53" s="245"/>
      <c r="N53" s="245"/>
      <c r="O53" s="245"/>
    </row>
    <row r="54" spans="1:15" x14ac:dyDescent="0.25">
      <c r="A54" s="242"/>
      <c r="B54" s="243"/>
      <c r="C54" s="244"/>
      <c r="D54" s="147"/>
      <c r="E54" s="245"/>
      <c r="F54" s="245"/>
      <c r="G54" s="245"/>
      <c r="H54" s="245"/>
      <c r="I54" s="245"/>
      <c r="J54" s="245"/>
      <c r="K54" s="245"/>
      <c r="L54" s="245"/>
      <c r="M54" s="245"/>
      <c r="N54" s="245"/>
      <c r="O54" s="245"/>
    </row>
    <row r="55" spans="1:15" x14ac:dyDescent="0.25">
      <c r="A55" s="242"/>
      <c r="B55" s="243"/>
      <c r="C55" s="244"/>
      <c r="D55" s="147"/>
      <c r="E55" s="245"/>
      <c r="F55" s="245"/>
      <c r="G55" s="245"/>
      <c r="H55" s="245"/>
      <c r="I55" s="245"/>
      <c r="J55" s="245"/>
      <c r="K55" s="245"/>
      <c r="L55" s="245"/>
      <c r="M55" s="245"/>
      <c r="N55" s="245"/>
      <c r="O55" s="245"/>
    </row>
    <row r="56" spans="1:15" x14ac:dyDescent="0.25">
      <c r="A56" s="242"/>
      <c r="B56" s="243"/>
      <c r="C56" s="244"/>
      <c r="D56" s="147"/>
      <c r="E56" s="245"/>
      <c r="F56" s="245"/>
      <c r="G56" s="245"/>
      <c r="H56" s="245"/>
      <c r="I56" s="245"/>
      <c r="J56" s="245"/>
      <c r="K56" s="245"/>
      <c r="L56" s="245"/>
      <c r="M56" s="245"/>
      <c r="N56" s="245"/>
      <c r="O56" s="245"/>
    </row>
    <row r="57" spans="1:15" x14ac:dyDescent="0.25">
      <c r="A57" s="242"/>
      <c r="B57" s="243"/>
      <c r="C57" s="244"/>
      <c r="D57" s="252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253"/>
    </row>
    <row r="58" spans="1:15" x14ac:dyDescent="0.25">
      <c r="A58" s="242"/>
      <c r="B58" s="243"/>
      <c r="C58" s="244"/>
      <c r="D58" s="252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253"/>
    </row>
    <row r="59" spans="1:15" x14ac:dyDescent="0.25">
      <c r="A59" s="260"/>
      <c r="B59" s="243"/>
      <c r="C59" s="250"/>
      <c r="D59" s="254"/>
      <c r="E59" s="255"/>
      <c r="F59" s="255"/>
      <c r="G59" s="255"/>
      <c r="H59" s="255"/>
      <c r="I59" s="255"/>
      <c r="J59" s="255"/>
      <c r="K59" s="255"/>
      <c r="L59" s="255"/>
      <c r="M59" s="255"/>
      <c r="N59" s="255"/>
      <c r="O59" s="255"/>
    </row>
    <row r="60" spans="1:15" x14ac:dyDescent="0.25">
      <c r="B60" s="251"/>
      <c r="C60" s="250"/>
      <c r="D60" s="254"/>
      <c r="E60" s="255"/>
      <c r="F60" s="255"/>
      <c r="G60" s="255"/>
      <c r="H60" s="255"/>
      <c r="I60" s="255"/>
      <c r="J60" s="255"/>
      <c r="K60" s="255"/>
      <c r="L60" s="255"/>
      <c r="M60" s="255"/>
      <c r="N60" s="255"/>
      <c r="O60" s="255"/>
    </row>
    <row r="61" spans="1:15" ht="15.75" thickBot="1" x14ac:dyDescent="0.3">
      <c r="B61" s="279"/>
      <c r="C61" s="280"/>
      <c r="D61" s="258"/>
      <c r="E61" s="259"/>
      <c r="F61" s="259"/>
      <c r="G61" s="259"/>
      <c r="H61" s="259"/>
      <c r="I61" s="259"/>
      <c r="J61" s="259"/>
      <c r="K61" s="259"/>
      <c r="L61" s="259"/>
      <c r="M61" s="259"/>
      <c r="N61" s="259"/>
      <c r="O61" s="259"/>
    </row>
    <row r="62" spans="1:15" x14ac:dyDescent="0.25">
      <c r="B62" s="261"/>
      <c r="C62" s="262"/>
      <c r="D62" s="263"/>
    </row>
  </sheetData>
  <sheetProtection algorithmName="SHA-512" hashValue="5h/J0n0u33eXGYKlaaHcWtKvoV8lWW4tiEelfoTQ2ROuNHeV5C385dX0Nizc/5EYQHh2rvAh9BDjWqB4qxEA1Q==" saltValue="Ipl4vlkQBrtg6qYSFrTS5Q==" spinCount="100000" sheet="1" objects="1" scenarios="1"/>
  <mergeCells count="1">
    <mergeCell ref="A2:B3"/>
  </mergeCells>
  <pageMargins left="0.511811024" right="0.511811024" top="0.78740157499999996" bottom="0.78740157499999996" header="0.31496062000000002" footer="0.31496062000000002"/>
  <ignoredErrors>
    <ignoredError sqref="D9:D10 E10:O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200025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2:O58"/>
  <sheetViews>
    <sheetView workbookViewId="0">
      <selection activeCell="B15" sqref="B15"/>
    </sheetView>
  </sheetViews>
  <sheetFormatPr defaultColWidth="9.140625" defaultRowHeight="15" x14ac:dyDescent="0.25"/>
  <cols>
    <col min="1" max="1" width="5.5703125" style="234" customWidth="1"/>
    <col min="2" max="2" width="63.140625" style="234" customWidth="1"/>
    <col min="3" max="3" width="11" style="264" customWidth="1"/>
    <col min="4" max="7" width="14.7109375" style="234" customWidth="1"/>
    <col min="8" max="15" width="14.85546875" style="234" customWidth="1"/>
    <col min="16" max="16384" width="9.140625" style="234"/>
  </cols>
  <sheetData>
    <row r="2" spans="1:15" x14ac:dyDescent="0.25">
      <c r="A2" s="530" t="s">
        <v>358</v>
      </c>
      <c r="B2" s="531"/>
      <c r="C2" s="233"/>
      <c r="D2" s="233"/>
    </row>
    <row r="3" spans="1:15" x14ac:dyDescent="0.25">
      <c r="A3" s="530"/>
      <c r="B3" s="531"/>
      <c r="C3" s="233"/>
      <c r="D3" s="233"/>
    </row>
    <row r="4" spans="1:15" ht="15.75" thickBot="1" x14ac:dyDescent="0.3">
      <c r="A4" s="532"/>
      <c r="B4" s="533"/>
      <c r="C4" s="235"/>
      <c r="D4" s="235"/>
    </row>
    <row r="5" spans="1:15" x14ac:dyDescent="0.25">
      <c r="A5" s="236" t="s">
        <v>1</v>
      </c>
      <c r="B5" s="237" t="s">
        <v>2</v>
      </c>
      <c r="C5" s="238" t="s">
        <v>3</v>
      </c>
      <c r="D5" s="363">
        <v>2016</v>
      </c>
      <c r="E5" s="391"/>
      <c r="F5" s="392"/>
      <c r="G5" s="392"/>
      <c r="H5" s="392"/>
      <c r="I5" s="392"/>
      <c r="J5" s="392"/>
      <c r="K5" s="392"/>
      <c r="L5" s="392"/>
      <c r="M5" s="392"/>
      <c r="N5" s="392"/>
      <c r="O5" s="392"/>
    </row>
    <row r="6" spans="1:15" x14ac:dyDescent="0.25">
      <c r="A6" s="242">
        <v>1</v>
      </c>
      <c r="B6" s="243" t="s">
        <v>354</v>
      </c>
      <c r="C6" s="244" t="s">
        <v>16</v>
      </c>
      <c r="D6" s="364">
        <f>D7+(INVENTÁRIO!J57-INVENTÁRIO!I57)</f>
        <v>39773.644455000001</v>
      </c>
      <c r="E6" s="382"/>
      <c r="F6" s="374"/>
      <c r="G6" s="374"/>
      <c r="H6" s="374"/>
      <c r="I6" s="374"/>
      <c r="J6" s="374"/>
      <c r="K6" s="374"/>
      <c r="L6" s="374"/>
      <c r="M6" s="374"/>
      <c r="N6" s="374"/>
      <c r="O6" s="374"/>
    </row>
    <row r="7" spans="1:15" x14ac:dyDescent="0.25">
      <c r="A7" s="242">
        <v>2</v>
      </c>
      <c r="B7" s="243" t="s">
        <v>17</v>
      </c>
      <c r="C7" s="244" t="s">
        <v>16</v>
      </c>
      <c r="D7" s="364">
        <f>SUM('INDICADORES ECONÔMICOS MENSAIS'!E6:P6)</f>
        <v>26073.644455000001</v>
      </c>
      <c r="E7" s="382"/>
      <c r="F7" s="374"/>
      <c r="G7" s="374"/>
      <c r="H7" s="374"/>
      <c r="I7" s="374"/>
      <c r="J7" s="374"/>
      <c r="K7" s="374"/>
      <c r="L7" s="374"/>
      <c r="M7" s="374"/>
      <c r="N7" s="374"/>
      <c r="O7" s="374"/>
    </row>
    <row r="8" spans="1:15" x14ac:dyDescent="0.25">
      <c r="A8" s="242">
        <v>3</v>
      </c>
      <c r="B8" s="243" t="s">
        <v>464</v>
      </c>
      <c r="C8" s="244" t="s">
        <v>18</v>
      </c>
      <c r="D8" s="364">
        <f>D7/SUM('INDICADORES TÉCNICOS MENSAIS'!D7:O7)</f>
        <v>1.1871081977326534</v>
      </c>
      <c r="E8" s="382"/>
      <c r="F8" s="374"/>
      <c r="G8" s="374"/>
      <c r="H8" s="374"/>
      <c r="I8" s="374"/>
      <c r="J8" s="374"/>
      <c r="K8" s="374"/>
      <c r="L8" s="374"/>
      <c r="M8" s="374"/>
      <c r="N8" s="374"/>
      <c r="O8" s="374"/>
    </row>
    <row r="9" spans="1:15" x14ac:dyDescent="0.25">
      <c r="A9" s="242">
        <v>4</v>
      </c>
      <c r="B9" s="243" t="s">
        <v>374</v>
      </c>
      <c r="C9" s="244" t="s">
        <v>16</v>
      </c>
      <c r="D9" s="364">
        <f>SUM('DADOS ECONÔMICOS MENSAIS'!P95,'DADOS ECONÔMICOS MENSAIS'!S95,'DADOS ECONÔMICOS MENSAIS'!V95,'DADOS ECONÔMICOS MENSAIS'!Y95,'DADOS ECONÔMICOS MENSAIS'!AB95,'DADOS ECONÔMICOS MENSAIS'!AE95,'DADOS ECONÔMICOS MENSAIS'!AH95,'DADOS ECONÔMICOS MENSAIS'!AK95,'DADOS ECONÔMICOS MENSAIS'!D95,'DADOS ECONÔMICOS MENSAIS'!G95,'DADOS ECONÔMICOS MENSAIS'!J95,'DADOS ECONÔMICOS MENSAIS'!M95)</f>
        <v>45436.952258999998</v>
      </c>
      <c r="E9" s="382"/>
      <c r="F9" s="374"/>
      <c r="G9" s="374"/>
      <c r="H9" s="374"/>
      <c r="I9" s="374"/>
      <c r="J9" s="374"/>
      <c r="K9" s="374"/>
      <c r="L9" s="374"/>
      <c r="M9" s="374"/>
      <c r="N9" s="374"/>
      <c r="O9" s="374"/>
    </row>
    <row r="10" spans="1:15" x14ac:dyDescent="0.25">
      <c r="A10" s="242">
        <v>5</v>
      </c>
      <c r="B10" s="243" t="s">
        <v>373</v>
      </c>
      <c r="C10" s="244" t="s">
        <v>16</v>
      </c>
      <c r="D10" s="364">
        <f>D9+D40+INVENTÁRIO!J13</f>
        <v>98567.242249000003</v>
      </c>
      <c r="E10" s="383"/>
      <c r="F10" s="375"/>
      <c r="G10" s="375"/>
      <c r="H10" s="375"/>
      <c r="I10" s="375"/>
      <c r="J10" s="375"/>
      <c r="K10" s="375"/>
      <c r="L10" s="375"/>
      <c r="M10" s="375"/>
      <c r="N10" s="375"/>
      <c r="O10" s="375"/>
    </row>
    <row r="11" spans="1:15" x14ac:dyDescent="0.25">
      <c r="A11" s="242">
        <v>6</v>
      </c>
      <c r="B11" s="243" t="s">
        <v>381</v>
      </c>
      <c r="C11" s="244" t="s">
        <v>16</v>
      </c>
      <c r="D11" s="364">
        <f>D10+(INVENTÁRIO!J25*INVENTÁRIO!J26)</f>
        <v>133597.00264299999</v>
      </c>
      <c r="E11" s="382"/>
      <c r="F11" s="374"/>
      <c r="G11" s="374"/>
      <c r="H11" s="374"/>
      <c r="I11" s="374"/>
      <c r="J11" s="374"/>
      <c r="K11" s="374"/>
      <c r="L11" s="374"/>
      <c r="M11" s="374"/>
      <c r="N11" s="374"/>
      <c r="O11" s="374"/>
    </row>
    <row r="12" spans="1:15" x14ac:dyDescent="0.25">
      <c r="A12" s="242">
        <v>7</v>
      </c>
      <c r="B12" s="243" t="s">
        <v>300</v>
      </c>
      <c r="C12" s="244" t="s">
        <v>16</v>
      </c>
      <c r="D12" s="364">
        <f>SUM('INDICADORES ECONÔMICOS MENSAIS'!E8:P8)</f>
        <v>36349.5618072</v>
      </c>
      <c r="E12" s="382"/>
      <c r="F12" s="374"/>
      <c r="G12" s="374"/>
      <c r="H12" s="374"/>
      <c r="I12" s="374"/>
      <c r="J12" s="374"/>
      <c r="K12" s="374"/>
      <c r="L12" s="374"/>
      <c r="M12" s="374"/>
      <c r="N12" s="374"/>
      <c r="O12" s="374"/>
    </row>
    <row r="13" spans="1:15" x14ac:dyDescent="0.25">
      <c r="A13" s="242">
        <v>8</v>
      </c>
      <c r="B13" s="243" t="s">
        <v>301</v>
      </c>
      <c r="C13" s="244" t="s">
        <v>16</v>
      </c>
      <c r="D13" s="364">
        <f>SUM('INDICADORES ECONÔMICOS MENSAIS'!E9:P9)</f>
        <v>82364.99379920002</v>
      </c>
      <c r="E13" s="382"/>
      <c r="F13" s="374"/>
      <c r="G13" s="374"/>
      <c r="H13" s="374"/>
      <c r="I13" s="374"/>
      <c r="J13" s="374"/>
      <c r="K13" s="374"/>
      <c r="L13" s="374"/>
      <c r="M13" s="374"/>
      <c r="N13" s="374"/>
      <c r="O13" s="374"/>
    </row>
    <row r="14" spans="1:15" x14ac:dyDescent="0.25">
      <c r="A14" s="242">
        <v>9</v>
      </c>
      <c r="B14" s="243" t="s">
        <v>19</v>
      </c>
      <c r="C14" s="244" t="s">
        <v>16</v>
      </c>
      <c r="D14" s="364">
        <f>SUM('INDICADORES ECONÔMICOS MENSAIS'!E10:P10)</f>
        <v>110388.80211440001</v>
      </c>
      <c r="E14" s="384"/>
      <c r="F14" s="376"/>
      <c r="G14" s="376"/>
      <c r="H14" s="376"/>
      <c r="I14" s="376"/>
      <c r="J14" s="376"/>
      <c r="K14" s="376"/>
      <c r="L14" s="376"/>
      <c r="M14" s="376"/>
      <c r="N14" s="376"/>
      <c r="O14" s="376"/>
    </row>
    <row r="15" spans="1:15" x14ac:dyDescent="0.25">
      <c r="A15" s="242">
        <v>10</v>
      </c>
      <c r="B15" s="243" t="s">
        <v>371</v>
      </c>
      <c r="C15" s="244" t="s">
        <v>18</v>
      </c>
      <c r="D15" s="367">
        <f>D9/'INDICADORES TÉCNICOS ANUAIS'!D7</f>
        <v>2.068701159124021</v>
      </c>
      <c r="E15" s="385"/>
      <c r="F15" s="377"/>
      <c r="G15" s="377"/>
      <c r="H15" s="377"/>
      <c r="I15" s="377"/>
      <c r="J15" s="377"/>
      <c r="K15" s="377"/>
      <c r="L15" s="377"/>
      <c r="M15" s="377"/>
      <c r="N15" s="377"/>
      <c r="O15" s="377"/>
    </row>
    <row r="16" spans="1:15" x14ac:dyDescent="0.25">
      <c r="A16" s="242">
        <v>11</v>
      </c>
      <c r="B16" s="243" t="s">
        <v>372</v>
      </c>
      <c r="C16" s="244" t="s">
        <v>18</v>
      </c>
      <c r="D16" s="367">
        <f>D10/'INDICADORES TÉCNICOS ANUAIS'!D7</f>
        <v>4.4876726574849757</v>
      </c>
      <c r="E16" s="385"/>
      <c r="F16" s="377"/>
      <c r="G16" s="377"/>
      <c r="H16" s="377"/>
      <c r="I16" s="377"/>
      <c r="J16" s="377"/>
      <c r="K16" s="377"/>
      <c r="L16" s="377"/>
      <c r="M16" s="377"/>
      <c r="N16" s="377"/>
      <c r="O16" s="377"/>
    </row>
    <row r="17" spans="1:15" x14ac:dyDescent="0.25">
      <c r="A17" s="242">
        <v>12</v>
      </c>
      <c r="B17" s="243" t="s">
        <v>312</v>
      </c>
      <c r="C17" s="244" t="s">
        <v>18</v>
      </c>
      <c r="D17" s="367">
        <f>D11/'INDICADORES TÉCNICOS ANUAIS'!D7</f>
        <v>6.0825442835093781</v>
      </c>
      <c r="E17" s="385"/>
      <c r="F17" s="377"/>
      <c r="G17" s="377"/>
      <c r="H17" s="377"/>
      <c r="I17" s="377"/>
      <c r="J17" s="377"/>
      <c r="K17" s="377"/>
      <c r="L17" s="377"/>
      <c r="M17" s="377"/>
      <c r="N17" s="377"/>
      <c r="O17" s="377"/>
    </row>
    <row r="18" spans="1:15" x14ac:dyDescent="0.25">
      <c r="A18" s="242">
        <v>13</v>
      </c>
      <c r="B18" s="243" t="s">
        <v>295</v>
      </c>
      <c r="C18" s="244" t="s">
        <v>12</v>
      </c>
      <c r="D18" s="398">
        <f>D15/D8</f>
        <v>1.7426390981674524</v>
      </c>
      <c r="E18" s="386"/>
      <c r="F18" s="378"/>
      <c r="G18" s="378"/>
      <c r="H18" s="378"/>
      <c r="I18" s="378"/>
      <c r="J18" s="378"/>
      <c r="K18" s="378"/>
      <c r="L18" s="378"/>
      <c r="M18" s="378"/>
      <c r="N18" s="378"/>
      <c r="O18" s="378"/>
    </row>
    <row r="19" spans="1:15" x14ac:dyDescent="0.25">
      <c r="A19" s="242">
        <v>14</v>
      </c>
      <c r="B19" s="243" t="s">
        <v>296</v>
      </c>
      <c r="C19" s="244" t="s">
        <v>12</v>
      </c>
      <c r="D19" s="398">
        <f>D16/D8</f>
        <v>3.780340044872335</v>
      </c>
      <c r="E19" s="382"/>
      <c r="F19" s="374"/>
      <c r="G19" s="374"/>
      <c r="H19" s="374"/>
      <c r="I19" s="374"/>
      <c r="J19" s="374"/>
      <c r="K19" s="374"/>
      <c r="L19" s="374"/>
      <c r="M19" s="374"/>
      <c r="N19" s="374"/>
      <c r="O19" s="374"/>
    </row>
    <row r="20" spans="1:15" x14ac:dyDescent="0.25">
      <c r="A20" s="242">
        <v>15</v>
      </c>
      <c r="B20" s="243" t="s">
        <v>297</v>
      </c>
      <c r="C20" s="244" t="s">
        <v>12</v>
      </c>
      <c r="D20" s="398">
        <f>D17/D8</f>
        <v>5.1238331056317223</v>
      </c>
      <c r="E20" s="382"/>
      <c r="F20" s="374"/>
      <c r="G20" s="374"/>
      <c r="H20" s="374"/>
      <c r="I20" s="374"/>
      <c r="J20" s="374"/>
      <c r="K20" s="374"/>
      <c r="L20" s="374"/>
      <c r="M20" s="374"/>
      <c r="N20" s="374"/>
      <c r="O20" s="374"/>
    </row>
    <row r="21" spans="1:15" x14ac:dyDescent="0.25">
      <c r="A21" s="242">
        <v>16</v>
      </c>
      <c r="B21" s="243" t="s">
        <v>375</v>
      </c>
      <c r="C21" s="244" t="s">
        <v>12</v>
      </c>
      <c r="D21" s="369">
        <f>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MENSAIS'!AK16)/D6</f>
        <v>6.0341465633489176E-3</v>
      </c>
      <c r="E21" s="387"/>
      <c r="F21" s="379"/>
      <c r="G21" s="379"/>
      <c r="H21" s="379"/>
      <c r="I21" s="379"/>
      <c r="J21" s="379"/>
      <c r="K21" s="379"/>
      <c r="L21" s="379"/>
      <c r="M21" s="379"/>
      <c r="N21" s="379"/>
      <c r="O21" s="379"/>
    </row>
    <row r="22" spans="1:15" x14ac:dyDescent="0.25">
      <c r="A22" s="242">
        <v>17</v>
      </c>
      <c r="B22" s="243" t="s">
        <v>383</v>
      </c>
      <c r="C22" s="244" t="s">
        <v>12</v>
      </c>
      <c r="D22" s="369">
        <f>(SUM('DADOS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MENSAIS'!AK16)+SUM('INDICADORES ECONÔMICOS MENSAIS'!E33:P33))/D6</f>
        <v>0.44743196767232224</v>
      </c>
      <c r="E22" s="387"/>
      <c r="F22" s="379"/>
      <c r="G22" s="379"/>
      <c r="H22" s="379"/>
      <c r="I22" s="379"/>
      <c r="J22" s="379"/>
      <c r="K22" s="379"/>
      <c r="L22" s="379"/>
      <c r="M22" s="379"/>
      <c r="N22" s="379"/>
      <c r="O22" s="379"/>
    </row>
    <row r="23" spans="1:15" x14ac:dyDescent="0.25">
      <c r="A23" s="242">
        <v>18</v>
      </c>
      <c r="B23" s="243" t="s">
        <v>384</v>
      </c>
      <c r="C23" s="244" t="s">
        <v>12</v>
      </c>
      <c r="D23" s="365">
        <f>SUM('DADOS ECONÔMICOS MENSAIS'!D52,'DADOS ECONÔMICOS MENSAIS'!G52,'DADOS ECONÔMICOS MENSAIS'!J52,'DADOS ECONÔMICOS MENSAIS'!M52,'DADOS ECONÔMICOS MENSAIS'!P52,'DADOS ECONÔMICOS MENSAIS'!S52,'DADOS ECONÔMICOS MENSAIS'!V53,'DADOS ECONÔMICOS MENSAIS'!V52,'DADOS ECONÔMICOS MENSAIS'!V53,'DADOS ECONÔMICOS MENSAIS'!Y52,'DADOS ECONÔMICOS MENSAIS'!AB52,'DADOS ECONÔMICOS MENSAIS'!AE52,'DADOS ECONÔMICOS MENSAIS'!AH52,'DADOS ECONÔMICOS MENSAIS'!AK52)/D6</f>
        <v>0.22276057729696422</v>
      </c>
      <c r="E23" s="383"/>
      <c r="F23" s="375"/>
      <c r="G23" s="375"/>
      <c r="H23" s="375"/>
      <c r="I23" s="375"/>
      <c r="J23" s="375"/>
      <c r="K23" s="375"/>
      <c r="L23" s="375"/>
      <c r="M23" s="375"/>
      <c r="N23" s="375"/>
      <c r="O23" s="375"/>
    </row>
    <row r="24" spans="1:15" x14ac:dyDescent="0.25">
      <c r="A24" s="242">
        <v>19</v>
      </c>
      <c r="B24" s="243" t="s">
        <v>377</v>
      </c>
      <c r="C24" s="244" t="s">
        <v>16</v>
      </c>
      <c r="D24" s="364">
        <f>D7-D9</f>
        <v>-19363.307803999996</v>
      </c>
      <c r="E24" s="382"/>
      <c r="F24" s="374"/>
      <c r="G24" s="374"/>
      <c r="H24" s="374"/>
      <c r="I24" s="374"/>
      <c r="J24" s="374"/>
      <c r="K24" s="374"/>
      <c r="L24" s="374"/>
      <c r="M24" s="374"/>
      <c r="N24" s="374"/>
      <c r="O24" s="374"/>
    </row>
    <row r="25" spans="1:15" x14ac:dyDescent="0.25">
      <c r="A25" s="242">
        <v>20</v>
      </c>
      <c r="B25" s="243" t="s">
        <v>311</v>
      </c>
      <c r="C25" s="244" t="s">
        <v>18</v>
      </c>
      <c r="D25" s="364">
        <f>D24/'INDICADORES TÉCNICOS ANUAIS'!D7</f>
        <v>-0.88159296139136756</v>
      </c>
      <c r="E25" s="382"/>
      <c r="F25" s="374"/>
      <c r="G25" s="374"/>
      <c r="H25" s="374"/>
      <c r="I25" s="374"/>
      <c r="J25" s="374"/>
      <c r="K25" s="374"/>
      <c r="L25" s="374"/>
      <c r="M25" s="374"/>
      <c r="N25" s="374"/>
      <c r="O25" s="374"/>
    </row>
    <row r="26" spans="1:15" x14ac:dyDescent="0.25">
      <c r="A26" s="242">
        <v>21</v>
      </c>
      <c r="B26" s="243" t="s">
        <v>378</v>
      </c>
      <c r="C26" s="244" t="s">
        <v>379</v>
      </c>
      <c r="D26" s="364">
        <f>D24/D8</f>
        <v>-16311.325152149926</v>
      </c>
      <c r="E26" s="382"/>
      <c r="F26" s="374"/>
      <c r="G26" s="374"/>
      <c r="H26" s="374"/>
      <c r="I26" s="374"/>
      <c r="J26" s="374"/>
      <c r="K26" s="374"/>
      <c r="L26" s="374"/>
      <c r="M26" s="374"/>
      <c r="N26" s="374"/>
      <c r="O26" s="374"/>
    </row>
    <row r="27" spans="1:15" x14ac:dyDescent="0.25">
      <c r="A27" s="242">
        <v>22</v>
      </c>
      <c r="B27" s="243" t="s">
        <v>302</v>
      </c>
      <c r="C27" s="244" t="s">
        <v>465</v>
      </c>
      <c r="D27" s="364">
        <f>D24/PERFIL!$B$6</f>
        <v>-7745.3231215999986</v>
      </c>
      <c r="E27" s="382"/>
      <c r="F27" s="374"/>
      <c r="G27" s="374"/>
      <c r="H27" s="374"/>
      <c r="I27" s="374"/>
      <c r="J27" s="374"/>
      <c r="K27" s="374"/>
      <c r="L27" s="374"/>
      <c r="M27" s="374"/>
      <c r="N27" s="374"/>
      <c r="O27" s="374"/>
    </row>
    <row r="28" spans="1:15" x14ac:dyDescent="0.25">
      <c r="A28" s="242">
        <v>23</v>
      </c>
      <c r="B28" s="243" t="s">
        <v>303</v>
      </c>
      <c r="C28" s="244" t="s">
        <v>20</v>
      </c>
      <c r="D28" s="364">
        <f>D24/'INDICADORES TÉCNICOS ANUAIS'!D11</f>
        <v>-3057.3643901052628</v>
      </c>
      <c r="E28" s="382"/>
      <c r="F28" s="374"/>
      <c r="G28" s="374"/>
      <c r="H28" s="374"/>
      <c r="I28" s="374"/>
      <c r="J28" s="374"/>
      <c r="K28" s="374"/>
      <c r="L28" s="374"/>
      <c r="M28" s="374"/>
      <c r="N28" s="374"/>
      <c r="O28" s="374"/>
    </row>
    <row r="29" spans="1:15" x14ac:dyDescent="0.25">
      <c r="A29" s="242">
        <v>24</v>
      </c>
      <c r="B29" s="243" t="s">
        <v>304</v>
      </c>
      <c r="C29" s="244" t="s">
        <v>20</v>
      </c>
      <c r="D29" s="364">
        <f>D24/'INDICADORES TÉCNICOS ANUAIS'!D10</f>
        <v>-1858.8775491839997</v>
      </c>
      <c r="E29" s="382"/>
      <c r="F29" s="374"/>
      <c r="G29" s="374"/>
      <c r="H29" s="374"/>
      <c r="I29" s="374"/>
      <c r="J29" s="374"/>
      <c r="K29" s="374"/>
      <c r="L29" s="374"/>
      <c r="M29" s="374"/>
      <c r="N29" s="374"/>
      <c r="O29" s="374"/>
    </row>
    <row r="30" spans="1:15" x14ac:dyDescent="0.25">
      <c r="A30" s="242">
        <v>25</v>
      </c>
      <c r="B30" s="243" t="s">
        <v>466</v>
      </c>
      <c r="C30" s="244" t="s">
        <v>16</v>
      </c>
      <c r="D30" s="364">
        <f>D6-D10</f>
        <v>-58793.597794000001</v>
      </c>
      <c r="E30" s="382"/>
      <c r="F30" s="374"/>
      <c r="G30" s="374"/>
      <c r="H30" s="374"/>
      <c r="I30" s="374"/>
      <c r="J30" s="374"/>
      <c r="K30" s="374"/>
      <c r="L30" s="374"/>
      <c r="M30" s="374"/>
      <c r="N30" s="374"/>
      <c r="O30" s="374"/>
    </row>
    <row r="31" spans="1:15" x14ac:dyDescent="0.25">
      <c r="A31" s="242">
        <v>26</v>
      </c>
      <c r="B31" s="243" t="s">
        <v>305</v>
      </c>
      <c r="C31" s="244" t="s">
        <v>18</v>
      </c>
      <c r="D31" s="364">
        <f>D30/'INDICADORES TÉCNICOS ANUAIS'!D7</f>
        <v>-2.6768165085594608</v>
      </c>
      <c r="E31" s="382"/>
      <c r="F31" s="374"/>
      <c r="G31" s="374"/>
      <c r="H31" s="374"/>
      <c r="I31" s="374"/>
      <c r="J31" s="374"/>
      <c r="K31" s="374"/>
      <c r="L31" s="374"/>
      <c r="M31" s="374"/>
      <c r="N31" s="374"/>
      <c r="O31" s="374"/>
    </row>
    <row r="32" spans="1:15" x14ac:dyDescent="0.25">
      <c r="A32" s="242">
        <v>27</v>
      </c>
      <c r="B32" s="243" t="s">
        <v>306</v>
      </c>
      <c r="C32" s="244" t="s">
        <v>379</v>
      </c>
      <c r="D32" s="368">
        <f>D30/D8</f>
        <v>-49526.738932722634</v>
      </c>
      <c r="E32" s="384"/>
      <c r="F32" s="376"/>
      <c r="G32" s="376"/>
      <c r="H32" s="376"/>
      <c r="I32" s="376"/>
      <c r="J32" s="376"/>
      <c r="K32" s="376"/>
      <c r="L32" s="376"/>
      <c r="M32" s="376"/>
      <c r="N32" s="376"/>
      <c r="O32" s="376"/>
    </row>
    <row r="33" spans="1:15" x14ac:dyDescent="0.25">
      <c r="A33" s="242">
        <v>28</v>
      </c>
      <c r="B33" s="243" t="s">
        <v>307</v>
      </c>
      <c r="C33" s="244" t="s">
        <v>465</v>
      </c>
      <c r="D33" s="368">
        <f>D30/PERFIL!B6</f>
        <v>-23517.439117599999</v>
      </c>
      <c r="E33" s="386"/>
      <c r="F33" s="378"/>
      <c r="G33" s="378"/>
      <c r="H33" s="378"/>
      <c r="I33" s="378"/>
      <c r="J33" s="378"/>
      <c r="K33" s="378"/>
      <c r="L33" s="378"/>
      <c r="M33" s="378"/>
      <c r="N33" s="378"/>
      <c r="O33" s="378"/>
    </row>
    <row r="34" spans="1:15" x14ac:dyDescent="0.25">
      <c r="A34" s="242">
        <v>29</v>
      </c>
      <c r="B34" s="243" t="s">
        <v>380</v>
      </c>
      <c r="C34" s="244" t="s">
        <v>16</v>
      </c>
      <c r="D34" s="364">
        <f>D6-D11</f>
        <v>-93823.358187999984</v>
      </c>
      <c r="E34" s="382"/>
      <c r="F34" s="374"/>
      <c r="G34" s="374"/>
      <c r="H34" s="374"/>
      <c r="I34" s="374"/>
      <c r="J34" s="374"/>
      <c r="K34" s="374"/>
      <c r="L34" s="374"/>
      <c r="M34" s="374"/>
      <c r="N34" s="374"/>
      <c r="O34" s="374"/>
    </row>
    <row r="35" spans="1:15" x14ac:dyDescent="0.25">
      <c r="A35" s="242">
        <v>30</v>
      </c>
      <c r="B35" s="243" t="s">
        <v>313</v>
      </c>
      <c r="C35" s="244" t="s">
        <v>18</v>
      </c>
      <c r="D35" s="364">
        <f>D34/'INDICADORES TÉCNICOS ANUAIS'!D7</f>
        <v>-4.2716881345838642</v>
      </c>
      <c r="E35" s="382"/>
      <c r="F35" s="374"/>
      <c r="G35" s="374"/>
      <c r="H35" s="374"/>
      <c r="I35" s="374"/>
      <c r="J35" s="374"/>
      <c r="K35" s="374"/>
      <c r="L35" s="374"/>
      <c r="M35" s="374"/>
      <c r="N35" s="374"/>
      <c r="O35" s="374"/>
    </row>
    <row r="36" spans="1:15" x14ac:dyDescent="0.25">
      <c r="A36" s="242">
        <v>31</v>
      </c>
      <c r="B36" s="243" t="s">
        <v>320</v>
      </c>
      <c r="C36" s="244" t="s">
        <v>379</v>
      </c>
      <c r="D36" s="364">
        <f>D34/D8</f>
        <v>-79035.220519241819</v>
      </c>
      <c r="E36" s="382"/>
      <c r="F36" s="374"/>
      <c r="G36" s="374"/>
      <c r="H36" s="374"/>
      <c r="I36" s="374"/>
      <c r="J36" s="374"/>
      <c r="K36" s="374"/>
      <c r="L36" s="374"/>
      <c r="M36" s="374"/>
      <c r="N36" s="374"/>
      <c r="O36" s="374"/>
    </row>
    <row r="37" spans="1:15" x14ac:dyDescent="0.25">
      <c r="A37" s="242">
        <v>32</v>
      </c>
      <c r="B37" s="243" t="s">
        <v>382</v>
      </c>
      <c r="C37" s="244" t="s">
        <v>12</v>
      </c>
      <c r="D37" s="365">
        <f>D7/D6</f>
        <v>0.65555080034216595</v>
      </c>
      <c r="E37" s="382"/>
      <c r="F37" s="374"/>
      <c r="G37" s="374"/>
      <c r="H37" s="374"/>
      <c r="I37" s="374"/>
      <c r="J37" s="374"/>
      <c r="K37" s="374"/>
      <c r="L37" s="374"/>
      <c r="M37" s="374"/>
      <c r="N37" s="374"/>
      <c r="O37" s="374"/>
    </row>
    <row r="38" spans="1:15" x14ac:dyDescent="0.25">
      <c r="A38" s="242">
        <v>33</v>
      </c>
      <c r="B38" s="243" t="s">
        <v>360</v>
      </c>
      <c r="C38" s="244" t="s">
        <v>21</v>
      </c>
      <c r="D38" s="364">
        <f>SUM(INVENTÁRIO!J19:J22)</f>
        <v>553229.88990000007</v>
      </c>
      <c r="E38" s="382"/>
      <c r="F38" s="374"/>
      <c r="G38" s="374"/>
      <c r="H38" s="374"/>
      <c r="I38" s="374"/>
      <c r="J38" s="374"/>
      <c r="K38" s="374"/>
      <c r="L38" s="374"/>
      <c r="M38" s="374"/>
      <c r="N38" s="374"/>
      <c r="O38" s="374"/>
    </row>
    <row r="39" spans="1:15" x14ac:dyDescent="0.25">
      <c r="A39" s="242">
        <v>34</v>
      </c>
      <c r="B39" s="243" t="s">
        <v>361</v>
      </c>
      <c r="C39" s="244" t="s">
        <v>21</v>
      </c>
      <c r="D39" s="364">
        <f>INVENTÁRIO!J25</f>
        <v>583829.33990000002</v>
      </c>
      <c r="E39" s="382"/>
      <c r="F39" s="374"/>
      <c r="G39" s="374"/>
      <c r="H39" s="374"/>
      <c r="I39" s="374"/>
      <c r="J39" s="374"/>
      <c r="K39" s="374"/>
      <c r="L39" s="374"/>
      <c r="M39" s="374"/>
      <c r="N39" s="374"/>
      <c r="O39" s="374"/>
    </row>
    <row r="40" spans="1:15" x14ac:dyDescent="0.25">
      <c r="A40" s="242">
        <v>35</v>
      </c>
      <c r="B40" s="243" t="s">
        <v>22</v>
      </c>
      <c r="C40" s="244" t="s">
        <v>16</v>
      </c>
      <c r="D40" s="364">
        <f>SUM('INDICADORES ECONÔMICOS MENSAIS'!E33:P33)</f>
        <v>17556</v>
      </c>
      <c r="E40" s="382"/>
      <c r="F40" s="374"/>
      <c r="G40" s="374"/>
      <c r="H40" s="374"/>
      <c r="I40" s="374"/>
      <c r="J40" s="374"/>
      <c r="K40" s="374"/>
      <c r="L40" s="374"/>
      <c r="M40" s="374"/>
      <c r="N40" s="374"/>
      <c r="O40" s="374"/>
    </row>
    <row r="41" spans="1:15" s="357" customFormat="1" x14ac:dyDescent="0.25">
      <c r="A41" s="242">
        <v>36</v>
      </c>
      <c r="B41" s="354" t="s">
        <v>362</v>
      </c>
      <c r="C41" s="355" t="s">
        <v>23</v>
      </c>
      <c r="D41" s="370">
        <f>D30/D38*100</f>
        <v>-10.627335736438125</v>
      </c>
      <c r="E41" s="388"/>
      <c r="F41" s="380"/>
      <c r="G41" s="380"/>
      <c r="H41" s="380"/>
      <c r="I41" s="380"/>
      <c r="J41" s="380"/>
      <c r="K41" s="380"/>
      <c r="L41" s="380"/>
      <c r="M41" s="380"/>
      <c r="N41" s="380"/>
      <c r="O41" s="380"/>
    </row>
    <row r="42" spans="1:15" s="357" customFormat="1" x14ac:dyDescent="0.25">
      <c r="A42" s="242">
        <v>37</v>
      </c>
      <c r="B42" s="354" t="s">
        <v>363</v>
      </c>
      <c r="C42" s="355" t="s">
        <v>23</v>
      </c>
      <c r="D42" s="370">
        <f>D30/D39*100</f>
        <v>-10.070339699623581</v>
      </c>
      <c r="E42" s="388"/>
      <c r="F42" s="380"/>
      <c r="G42" s="380"/>
      <c r="H42" s="380"/>
      <c r="I42" s="380"/>
      <c r="J42" s="380"/>
      <c r="K42" s="380"/>
      <c r="L42" s="380"/>
      <c r="M42" s="380"/>
      <c r="N42" s="380"/>
      <c r="O42" s="380"/>
    </row>
    <row r="43" spans="1:15" s="357" customFormat="1" x14ac:dyDescent="0.25">
      <c r="A43" s="242">
        <v>38</v>
      </c>
      <c r="B43" s="354" t="s">
        <v>24</v>
      </c>
      <c r="C43" s="355" t="s">
        <v>467</v>
      </c>
      <c r="D43" s="370">
        <f>D34/D6*100</f>
        <v>-235.89328932165608</v>
      </c>
      <c r="E43" s="388"/>
      <c r="F43" s="380"/>
      <c r="G43" s="380"/>
      <c r="H43" s="380"/>
      <c r="I43" s="380"/>
      <c r="J43" s="380"/>
      <c r="K43" s="380"/>
      <c r="L43" s="380"/>
      <c r="M43" s="380"/>
      <c r="N43" s="380"/>
      <c r="O43" s="380"/>
    </row>
    <row r="44" spans="1:15" s="357" customFormat="1" x14ac:dyDescent="0.25">
      <c r="A44" s="242">
        <v>39</v>
      </c>
      <c r="B44" s="354" t="s">
        <v>364</v>
      </c>
      <c r="C44" s="355" t="s">
        <v>16</v>
      </c>
      <c r="D44" s="370">
        <f>D30+D40</f>
        <v>-41237.597794000001</v>
      </c>
      <c r="E44" s="388"/>
      <c r="F44" s="380"/>
      <c r="G44" s="380"/>
      <c r="H44" s="380"/>
      <c r="I44" s="380"/>
      <c r="J44" s="380"/>
      <c r="K44" s="380"/>
      <c r="L44" s="380"/>
      <c r="M44" s="380"/>
      <c r="N44" s="380"/>
      <c r="O44" s="380"/>
    </row>
    <row r="45" spans="1:15" s="357" customFormat="1" x14ac:dyDescent="0.25">
      <c r="A45" s="242">
        <v>40</v>
      </c>
      <c r="B45" s="354" t="s">
        <v>352</v>
      </c>
      <c r="C45" s="359" t="s">
        <v>379</v>
      </c>
      <c r="D45" s="370">
        <f>(D10-D9)/D25/365</f>
        <v>-165.11297696732322</v>
      </c>
      <c r="E45" s="388"/>
      <c r="F45" s="380"/>
      <c r="G45" s="380"/>
      <c r="H45" s="380"/>
      <c r="I45" s="380"/>
      <c r="J45" s="380"/>
      <c r="K45" s="380"/>
      <c r="L45" s="380"/>
      <c r="M45" s="380"/>
      <c r="N45" s="380"/>
      <c r="O45" s="380"/>
    </row>
    <row r="46" spans="1:15" s="357" customFormat="1" x14ac:dyDescent="0.25">
      <c r="A46" s="242">
        <v>41</v>
      </c>
      <c r="B46" s="360" t="s">
        <v>25</v>
      </c>
      <c r="C46" s="359" t="s">
        <v>379</v>
      </c>
      <c r="D46" s="370">
        <f>(D11-D9)/D25/365</f>
        <v>-273.97494670612929</v>
      </c>
      <c r="E46" s="388"/>
      <c r="F46" s="380"/>
      <c r="G46" s="380"/>
      <c r="H46" s="380"/>
      <c r="I46" s="380"/>
      <c r="J46" s="380"/>
      <c r="K46" s="380"/>
      <c r="L46" s="380"/>
      <c r="M46" s="380"/>
      <c r="N46" s="380"/>
      <c r="O46" s="380"/>
    </row>
    <row r="47" spans="1:15" s="357" customFormat="1" x14ac:dyDescent="0.25">
      <c r="A47" s="242">
        <v>42</v>
      </c>
      <c r="B47" s="360" t="s">
        <v>26</v>
      </c>
      <c r="C47" s="361" t="s">
        <v>18</v>
      </c>
      <c r="D47" s="370">
        <f>INVENTÁRIO!$J$25/('INDICADORES TÉCNICOS ANUAIS'!D7/365)</f>
        <v>9702.1357249817884</v>
      </c>
      <c r="E47" s="388"/>
      <c r="F47" s="380"/>
      <c r="G47" s="380"/>
      <c r="H47" s="380"/>
      <c r="I47" s="380"/>
      <c r="J47" s="380"/>
      <c r="K47" s="380"/>
      <c r="L47" s="380"/>
      <c r="M47" s="380"/>
      <c r="N47" s="380"/>
      <c r="O47" s="380"/>
    </row>
    <row r="48" spans="1:15" s="357" customFormat="1" x14ac:dyDescent="0.25">
      <c r="A48" s="242">
        <v>43</v>
      </c>
      <c r="B48" s="354"/>
      <c r="C48" s="355"/>
      <c r="D48" s="370"/>
      <c r="E48" s="388"/>
      <c r="F48" s="380"/>
      <c r="G48" s="380"/>
      <c r="H48" s="380"/>
      <c r="I48" s="380"/>
      <c r="J48" s="380"/>
      <c r="K48" s="380"/>
      <c r="L48" s="380"/>
      <c r="M48" s="380"/>
      <c r="N48" s="380"/>
      <c r="O48" s="380"/>
    </row>
    <row r="49" spans="1:15" x14ac:dyDescent="0.25">
      <c r="A49" s="242">
        <v>44</v>
      </c>
      <c r="B49" s="243"/>
      <c r="C49" s="244"/>
      <c r="D49" s="364"/>
      <c r="E49" s="382"/>
      <c r="F49" s="374"/>
      <c r="G49" s="374"/>
      <c r="H49" s="374"/>
      <c r="I49" s="374"/>
      <c r="J49" s="374"/>
      <c r="K49" s="374"/>
      <c r="L49" s="374"/>
      <c r="M49" s="374"/>
      <c r="N49" s="374"/>
      <c r="O49" s="374"/>
    </row>
    <row r="50" spans="1:15" x14ac:dyDescent="0.25">
      <c r="A50" s="242">
        <v>45</v>
      </c>
      <c r="B50" s="243"/>
      <c r="C50" s="244"/>
      <c r="D50" s="364"/>
      <c r="E50" s="382"/>
      <c r="F50" s="374"/>
      <c r="G50" s="374"/>
      <c r="H50" s="374"/>
      <c r="I50" s="374"/>
      <c r="J50" s="374"/>
      <c r="K50" s="374"/>
      <c r="L50" s="374"/>
      <c r="M50" s="374"/>
      <c r="N50" s="374"/>
      <c r="O50" s="374"/>
    </row>
    <row r="51" spans="1:15" x14ac:dyDescent="0.25">
      <c r="A51" s="242">
        <v>46</v>
      </c>
      <c r="B51" s="243"/>
      <c r="C51" s="244"/>
      <c r="D51" s="364"/>
      <c r="E51" s="382"/>
      <c r="F51" s="374"/>
      <c r="G51" s="374"/>
      <c r="H51" s="374"/>
      <c r="I51" s="374"/>
      <c r="J51" s="374"/>
      <c r="K51" s="374"/>
      <c r="L51" s="374"/>
      <c r="M51" s="374"/>
      <c r="N51" s="374"/>
      <c r="O51" s="374"/>
    </row>
    <row r="52" spans="1:15" x14ac:dyDescent="0.25">
      <c r="A52" s="242">
        <v>47</v>
      </c>
      <c r="B52" s="243"/>
      <c r="C52" s="244"/>
      <c r="D52" s="364"/>
      <c r="E52" s="382"/>
      <c r="F52" s="374"/>
      <c r="G52" s="374"/>
      <c r="H52" s="374"/>
      <c r="I52" s="374"/>
      <c r="J52" s="374"/>
      <c r="K52" s="374"/>
      <c r="L52" s="374"/>
      <c r="M52" s="374"/>
      <c r="N52" s="374"/>
      <c r="O52" s="374"/>
    </row>
    <row r="53" spans="1:15" x14ac:dyDescent="0.25">
      <c r="A53" s="242">
        <v>48</v>
      </c>
      <c r="B53" s="243"/>
      <c r="C53" s="244"/>
      <c r="D53" s="371"/>
      <c r="E53" s="382"/>
      <c r="F53" s="374"/>
      <c r="G53" s="374"/>
      <c r="H53" s="374"/>
      <c r="I53" s="374"/>
      <c r="J53" s="374"/>
      <c r="K53" s="374"/>
      <c r="L53" s="374"/>
      <c r="M53" s="374"/>
      <c r="N53" s="374"/>
      <c r="O53" s="374"/>
    </row>
    <row r="54" spans="1:15" x14ac:dyDescent="0.25">
      <c r="A54" s="242">
        <v>49</v>
      </c>
      <c r="B54" s="243"/>
      <c r="C54" s="244"/>
      <c r="D54" s="371"/>
      <c r="E54" s="382"/>
      <c r="F54" s="374"/>
      <c r="G54" s="374"/>
      <c r="H54" s="374"/>
      <c r="I54" s="374"/>
      <c r="J54" s="374"/>
      <c r="K54" s="374"/>
      <c r="L54" s="374"/>
      <c r="M54" s="374"/>
      <c r="N54" s="374"/>
      <c r="O54" s="374"/>
    </row>
    <row r="55" spans="1:15" x14ac:dyDescent="0.25">
      <c r="A55" s="242">
        <v>50</v>
      </c>
      <c r="B55" s="243"/>
      <c r="C55" s="244"/>
      <c r="D55" s="372"/>
      <c r="E55" s="389"/>
      <c r="F55" s="381"/>
      <c r="G55" s="381"/>
      <c r="H55" s="381"/>
      <c r="I55" s="381"/>
      <c r="J55" s="381"/>
      <c r="K55" s="381"/>
      <c r="L55" s="381"/>
      <c r="M55" s="381"/>
      <c r="N55" s="381"/>
      <c r="O55" s="381"/>
    </row>
    <row r="56" spans="1:15" x14ac:dyDescent="0.25">
      <c r="A56" s="242">
        <v>51</v>
      </c>
      <c r="B56" s="243"/>
      <c r="C56" s="244"/>
      <c r="D56" s="372"/>
      <c r="E56" s="389"/>
      <c r="F56" s="381"/>
      <c r="G56" s="381"/>
      <c r="H56" s="381"/>
      <c r="I56" s="381"/>
      <c r="J56" s="381"/>
      <c r="K56" s="381"/>
      <c r="L56" s="381"/>
      <c r="M56" s="381"/>
      <c r="N56" s="381"/>
      <c r="O56" s="381"/>
    </row>
    <row r="57" spans="1:15" ht="15.75" thickBot="1" x14ac:dyDescent="0.3">
      <c r="A57" s="242">
        <v>52</v>
      </c>
      <c r="B57" s="256"/>
      <c r="C57" s="257"/>
      <c r="D57" s="373"/>
      <c r="E57" s="390"/>
      <c r="F57" s="263"/>
      <c r="G57" s="263"/>
      <c r="H57" s="263"/>
      <c r="I57" s="263"/>
      <c r="J57" s="263"/>
      <c r="K57" s="263"/>
      <c r="L57" s="263"/>
      <c r="M57" s="263"/>
      <c r="N57" s="263"/>
      <c r="O57" s="263"/>
    </row>
    <row r="58" spans="1:15" x14ac:dyDescent="0.25">
      <c r="A58" s="260"/>
      <c r="B58" s="261"/>
      <c r="C58" s="262"/>
      <c r="D58" s="263"/>
    </row>
  </sheetData>
  <sheetProtection algorithmName="SHA-512" hashValue="nXblcdboO+1VJabXXs2zazM6kBcgsFJ6NDbC3S40ko1ZUbPe+k9T08mnCeQkr74bq3dDMMBeF4x5t8ZxMulMCA==" saltValue="wvp7wyNGqOQSPd3026GckA==" spinCount="100000" sheet="1" objects="1" scenarios="1"/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200025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:O62"/>
  <sheetViews>
    <sheetView workbookViewId="0">
      <selection activeCell="B1" sqref="B1"/>
    </sheetView>
  </sheetViews>
  <sheetFormatPr defaultColWidth="9.140625" defaultRowHeight="15" x14ac:dyDescent="0.25"/>
  <cols>
    <col min="1" max="1" width="5.5703125" style="234" customWidth="1"/>
    <col min="2" max="2" width="46.85546875" style="234" bestFit="1" customWidth="1"/>
    <col min="3" max="3" width="11" style="264" customWidth="1"/>
    <col min="4" max="7" width="14.7109375" style="234" customWidth="1"/>
    <col min="8" max="15" width="14.85546875" style="234" customWidth="1"/>
    <col min="16" max="16384" width="9.140625" style="234"/>
  </cols>
  <sheetData>
    <row r="1" spans="1:15" x14ac:dyDescent="0.25">
      <c r="B1" s="233"/>
      <c r="C1" s="233"/>
      <c r="D1" s="233"/>
    </row>
    <row r="2" spans="1:15" ht="15" customHeight="1" x14ac:dyDescent="0.25">
      <c r="B2" s="531" t="s">
        <v>359</v>
      </c>
      <c r="C2" s="531"/>
      <c r="D2" s="265"/>
    </row>
    <row r="3" spans="1:15" ht="18.75" customHeight="1" x14ac:dyDescent="0.25">
      <c r="B3" s="531"/>
      <c r="C3" s="531"/>
      <c r="D3" s="265"/>
    </row>
    <row r="4" spans="1:15" ht="15.75" customHeight="1" thickBot="1" x14ac:dyDescent="0.3">
      <c r="B4" s="533"/>
      <c r="C4" s="533"/>
      <c r="D4" s="266"/>
    </row>
    <row r="5" spans="1:15" x14ac:dyDescent="0.25">
      <c r="A5" s="237"/>
      <c r="B5" s="268" t="s">
        <v>2</v>
      </c>
      <c r="C5" s="267" t="s">
        <v>3</v>
      </c>
      <c r="D5" s="363" t="s">
        <v>370</v>
      </c>
      <c r="E5" s="391"/>
      <c r="F5" s="392"/>
      <c r="G5" s="392"/>
      <c r="H5" s="392"/>
      <c r="I5" s="392"/>
      <c r="J5" s="392"/>
      <c r="K5" s="392"/>
      <c r="L5" s="392"/>
      <c r="M5" s="392"/>
      <c r="N5" s="392"/>
      <c r="O5" s="392"/>
    </row>
    <row r="6" spans="1:15" x14ac:dyDescent="0.25">
      <c r="A6" s="480" t="s">
        <v>1</v>
      </c>
      <c r="B6" s="479" t="s">
        <v>108</v>
      </c>
      <c r="C6" s="267"/>
      <c r="D6" s="393"/>
      <c r="E6" s="391"/>
      <c r="F6" s="392"/>
      <c r="G6" s="392"/>
      <c r="H6" s="392"/>
      <c r="I6" s="392"/>
      <c r="J6" s="392"/>
      <c r="K6" s="392"/>
      <c r="L6" s="392"/>
      <c r="M6" s="392"/>
      <c r="N6" s="392"/>
      <c r="O6" s="392"/>
    </row>
    <row r="7" spans="1:15" x14ac:dyDescent="0.25">
      <c r="A7" s="242">
        <v>1</v>
      </c>
      <c r="B7" s="243" t="s">
        <v>386</v>
      </c>
      <c r="C7" s="244" t="s">
        <v>387</v>
      </c>
      <c r="D7" s="364">
        <f>SUM('INDICADORES TÉCNICOS MENSAIS'!D7:O7)</f>
        <v>21964</v>
      </c>
      <c r="E7" s="389"/>
      <c r="F7" s="381"/>
      <c r="G7" s="381"/>
      <c r="H7" s="381"/>
      <c r="I7" s="381"/>
      <c r="J7" s="381"/>
      <c r="K7" s="381"/>
      <c r="L7" s="381"/>
      <c r="M7" s="381"/>
      <c r="N7" s="381"/>
      <c r="O7" s="381"/>
    </row>
    <row r="8" spans="1:15" x14ac:dyDescent="0.25">
      <c r="A8" s="242">
        <v>2</v>
      </c>
      <c r="B8" s="243" t="s">
        <v>10</v>
      </c>
      <c r="C8" s="244" t="s">
        <v>11</v>
      </c>
      <c r="D8" s="364">
        <f>PERFIL!B6</f>
        <v>2.5</v>
      </c>
      <c r="E8" s="382"/>
      <c r="F8" s="374"/>
      <c r="G8" s="374"/>
      <c r="H8" s="374"/>
      <c r="I8" s="374"/>
      <c r="J8" s="374"/>
      <c r="K8" s="374"/>
      <c r="L8" s="374"/>
      <c r="M8" s="374"/>
      <c r="N8" s="374"/>
      <c r="O8" s="374"/>
    </row>
    <row r="9" spans="1:15" x14ac:dyDescent="0.25">
      <c r="A9" s="242">
        <v>3</v>
      </c>
      <c r="B9" s="243" t="s">
        <v>468</v>
      </c>
      <c r="C9" s="244" t="s">
        <v>351</v>
      </c>
      <c r="D9" s="364">
        <f>AVERAGE('INDICADORES TÉCNICOS MENSAIS'!D9:O9)</f>
        <v>22</v>
      </c>
      <c r="E9" s="382"/>
      <c r="F9" s="374"/>
      <c r="G9" s="374"/>
      <c r="H9" s="374"/>
      <c r="I9" s="374"/>
      <c r="J9" s="374"/>
      <c r="K9" s="374"/>
      <c r="L9" s="374"/>
      <c r="M9" s="374"/>
      <c r="N9" s="374"/>
      <c r="O9" s="374"/>
    </row>
    <row r="10" spans="1:15" x14ac:dyDescent="0.25">
      <c r="A10" s="242">
        <v>4</v>
      </c>
      <c r="B10" s="243" t="s">
        <v>120</v>
      </c>
      <c r="C10" s="244" t="s">
        <v>351</v>
      </c>
      <c r="D10" s="364">
        <f>AVERAGE('INDICADORES TÉCNICOS MENSAIS'!D10:O10)</f>
        <v>10.416666666666666</v>
      </c>
      <c r="E10" s="389"/>
      <c r="F10" s="381"/>
      <c r="G10" s="381"/>
      <c r="H10" s="381"/>
      <c r="I10" s="381"/>
      <c r="J10" s="381"/>
      <c r="K10" s="381"/>
      <c r="L10" s="381"/>
      <c r="M10" s="381"/>
      <c r="N10" s="381"/>
      <c r="O10" s="381"/>
    </row>
    <row r="11" spans="1:15" x14ac:dyDescent="0.25">
      <c r="A11" s="242">
        <v>5</v>
      </c>
      <c r="B11" s="243" t="s">
        <v>121</v>
      </c>
      <c r="C11" s="244" t="s">
        <v>351</v>
      </c>
      <c r="D11" s="364">
        <f>AVERAGE('INDICADORES TÉCNICOS MENSAIS'!D11:O11)</f>
        <v>6.333333333333333</v>
      </c>
      <c r="E11" s="389"/>
      <c r="F11" s="381"/>
      <c r="G11" s="381"/>
      <c r="H11" s="381"/>
      <c r="I11" s="381"/>
      <c r="J11" s="381"/>
      <c r="K11" s="381"/>
      <c r="L11" s="381"/>
      <c r="M11" s="381"/>
      <c r="N11" s="381"/>
      <c r="O11" s="381"/>
    </row>
    <row r="12" spans="1:15" x14ac:dyDescent="0.25">
      <c r="A12" s="242">
        <v>6</v>
      </c>
      <c r="B12" s="243" t="s">
        <v>114</v>
      </c>
      <c r="C12" s="244" t="s">
        <v>351</v>
      </c>
      <c r="D12" s="364">
        <f>AVERAGE('INDICADORES TÉCNICOS MENSAIS'!D12:O12)</f>
        <v>4.083333333333333</v>
      </c>
      <c r="E12" s="389"/>
      <c r="F12" s="381"/>
      <c r="G12" s="381"/>
      <c r="H12" s="381"/>
      <c r="I12" s="381"/>
      <c r="J12" s="381"/>
      <c r="K12" s="381"/>
      <c r="L12" s="381"/>
      <c r="M12" s="381"/>
      <c r="N12" s="381"/>
      <c r="O12" s="381"/>
    </row>
    <row r="13" spans="1:15" x14ac:dyDescent="0.25">
      <c r="A13" s="242">
        <v>7</v>
      </c>
      <c r="B13" s="243" t="s">
        <v>235</v>
      </c>
      <c r="C13" s="244" t="s">
        <v>351</v>
      </c>
      <c r="D13" s="364">
        <f>AVERAGE('INDICADORES TÉCNICOS MENSAIS'!D13:O13)</f>
        <v>7.833333333333333</v>
      </c>
      <c r="E13" s="389"/>
      <c r="F13" s="381"/>
      <c r="G13" s="381"/>
      <c r="H13" s="381"/>
      <c r="I13" s="381"/>
      <c r="J13" s="381"/>
      <c r="K13" s="381"/>
      <c r="L13" s="381"/>
      <c r="M13" s="381"/>
      <c r="N13" s="381"/>
      <c r="O13" s="381"/>
    </row>
    <row r="14" spans="1:15" x14ac:dyDescent="0.25">
      <c r="A14" s="242">
        <v>8</v>
      </c>
      <c r="B14" s="243" t="s">
        <v>314</v>
      </c>
      <c r="C14" s="244" t="s">
        <v>351</v>
      </c>
      <c r="D14" s="364">
        <f>AVERAGE('INDICADORES TÉCNICOS MENSAIS'!D14:O14)</f>
        <v>2.8333333333333335</v>
      </c>
      <c r="E14" s="389"/>
      <c r="F14" s="381"/>
      <c r="G14" s="381"/>
      <c r="H14" s="381"/>
      <c r="I14" s="381"/>
      <c r="J14" s="381"/>
      <c r="K14" s="381"/>
      <c r="L14" s="381"/>
      <c r="M14" s="381"/>
      <c r="N14" s="381"/>
      <c r="O14" s="381"/>
    </row>
    <row r="15" spans="1:15" x14ac:dyDescent="0.25">
      <c r="A15" s="242">
        <v>9</v>
      </c>
      <c r="B15" s="243" t="s">
        <v>315</v>
      </c>
      <c r="C15" s="244" t="s">
        <v>351</v>
      </c>
      <c r="D15" s="364">
        <f>AVERAGE('INDICADORES TÉCNICOS MENSAIS'!D15:O15)</f>
        <v>0.91666666666666663</v>
      </c>
      <c r="E15" s="389"/>
      <c r="F15" s="381"/>
      <c r="G15" s="381"/>
      <c r="H15" s="381"/>
      <c r="I15" s="381"/>
      <c r="J15" s="381"/>
      <c r="K15" s="381"/>
      <c r="L15" s="381"/>
      <c r="M15" s="381"/>
      <c r="N15" s="381"/>
      <c r="O15" s="381"/>
    </row>
    <row r="16" spans="1:15" x14ac:dyDescent="0.25">
      <c r="A16" s="242">
        <v>10</v>
      </c>
      <c r="B16" s="243" t="s">
        <v>115</v>
      </c>
      <c r="C16" s="244" t="s">
        <v>351</v>
      </c>
      <c r="D16" s="364">
        <f>AVERAGE('INDICADORES TÉCNICOS MENSAIS'!D16:O16)</f>
        <v>0</v>
      </c>
      <c r="E16" s="389"/>
      <c r="F16" s="381"/>
      <c r="G16" s="381"/>
      <c r="H16" s="381"/>
      <c r="I16" s="381"/>
      <c r="J16" s="381"/>
      <c r="K16" s="381"/>
      <c r="L16" s="381"/>
      <c r="M16" s="381"/>
      <c r="N16" s="381"/>
      <c r="O16" s="381"/>
    </row>
    <row r="17" spans="1:15" x14ac:dyDescent="0.25">
      <c r="A17" s="242">
        <v>11</v>
      </c>
      <c r="B17" s="271" t="s">
        <v>55</v>
      </c>
      <c r="C17" s="244" t="s">
        <v>351</v>
      </c>
      <c r="D17" s="364">
        <f>AVERAGE('INDICADORES TÉCNICOS MENSAIS'!D17:O17)</f>
        <v>0</v>
      </c>
      <c r="E17" s="389"/>
      <c r="F17" s="381"/>
      <c r="G17" s="381"/>
      <c r="H17" s="381"/>
      <c r="I17" s="381"/>
      <c r="J17" s="381"/>
      <c r="K17" s="381"/>
      <c r="L17" s="381"/>
      <c r="M17" s="381"/>
      <c r="N17" s="381"/>
      <c r="O17" s="381"/>
    </row>
    <row r="18" spans="1:15" x14ac:dyDescent="0.25">
      <c r="A18" s="242">
        <v>12</v>
      </c>
      <c r="B18" s="243" t="s">
        <v>316</v>
      </c>
      <c r="C18" s="244" t="s">
        <v>12</v>
      </c>
      <c r="D18" s="365">
        <f>D11/D10</f>
        <v>0.60799999999999998</v>
      </c>
      <c r="E18" s="383"/>
      <c r="F18" s="375"/>
      <c r="G18" s="375"/>
      <c r="H18" s="375"/>
      <c r="I18" s="375"/>
      <c r="J18" s="375"/>
      <c r="K18" s="375"/>
      <c r="L18" s="375"/>
      <c r="M18" s="375"/>
      <c r="N18" s="375"/>
      <c r="O18" s="375"/>
    </row>
    <row r="19" spans="1:15" x14ac:dyDescent="0.25">
      <c r="A19" s="242">
        <v>13</v>
      </c>
      <c r="B19" s="243" t="s">
        <v>13</v>
      </c>
      <c r="C19" s="244" t="s">
        <v>12</v>
      </c>
      <c r="D19" s="365">
        <f>D11/D9</f>
        <v>0.28787878787878785</v>
      </c>
      <c r="E19" s="383"/>
      <c r="F19" s="375"/>
      <c r="G19" s="375"/>
      <c r="H19" s="375"/>
      <c r="I19" s="375"/>
      <c r="J19" s="375"/>
      <c r="K19" s="375"/>
      <c r="L19" s="375"/>
      <c r="M19" s="375"/>
      <c r="N19" s="375"/>
      <c r="O19" s="375"/>
    </row>
    <row r="20" spans="1:15" x14ac:dyDescent="0.25">
      <c r="A20" s="242">
        <v>14</v>
      </c>
      <c r="B20" s="243" t="s">
        <v>326</v>
      </c>
      <c r="C20" s="244" t="s">
        <v>327</v>
      </c>
      <c r="D20" s="364">
        <f>D11/D8</f>
        <v>2.5333333333333332</v>
      </c>
      <c r="E20" s="382"/>
      <c r="F20" s="374"/>
      <c r="G20" s="374"/>
      <c r="H20" s="374"/>
      <c r="I20" s="374"/>
      <c r="J20" s="374"/>
      <c r="K20" s="374"/>
      <c r="L20" s="374"/>
      <c r="M20" s="374"/>
      <c r="N20" s="374"/>
      <c r="O20" s="374"/>
    </row>
    <row r="21" spans="1:15" x14ac:dyDescent="0.25">
      <c r="A21" s="242">
        <v>15</v>
      </c>
      <c r="B21" s="243" t="s">
        <v>355</v>
      </c>
      <c r="C21" s="244" t="s">
        <v>463</v>
      </c>
      <c r="D21" s="364" t="e">
        <f>D11/PERFIL!B8</f>
        <v>#DIV/0!</v>
      </c>
      <c r="E21" s="382"/>
      <c r="F21" s="374"/>
      <c r="G21" s="374"/>
      <c r="H21" s="374"/>
      <c r="I21" s="374"/>
      <c r="J21" s="374"/>
      <c r="K21" s="374"/>
      <c r="L21" s="374"/>
      <c r="M21" s="374"/>
      <c r="N21" s="374"/>
      <c r="O21" s="374"/>
    </row>
    <row r="22" spans="1:15" x14ac:dyDescent="0.25">
      <c r="A22" s="242">
        <v>16</v>
      </c>
      <c r="B22" s="243" t="s">
        <v>328</v>
      </c>
      <c r="C22" s="244" t="s">
        <v>387</v>
      </c>
      <c r="D22" s="364">
        <f>D7/D11</f>
        <v>3468</v>
      </c>
      <c r="E22" s="382"/>
      <c r="F22" s="374"/>
      <c r="G22" s="374"/>
      <c r="H22" s="374"/>
      <c r="I22" s="374"/>
      <c r="J22" s="374"/>
      <c r="K22" s="374"/>
      <c r="L22" s="374"/>
      <c r="M22" s="374"/>
      <c r="N22" s="374"/>
      <c r="O22" s="374"/>
    </row>
    <row r="23" spans="1:15" x14ac:dyDescent="0.25">
      <c r="A23" s="242">
        <v>17</v>
      </c>
      <c r="B23" s="243" t="s">
        <v>331</v>
      </c>
      <c r="C23" s="244" t="s">
        <v>14</v>
      </c>
      <c r="D23" s="366" t="e">
        <f>D7/PERFIL!B8</f>
        <v>#DIV/0!</v>
      </c>
      <c r="E23" s="384"/>
      <c r="F23" s="376"/>
      <c r="G23" s="376"/>
      <c r="H23" s="376"/>
      <c r="I23" s="376"/>
      <c r="J23" s="376"/>
      <c r="K23" s="376"/>
      <c r="L23" s="376"/>
      <c r="M23" s="376"/>
      <c r="N23" s="376"/>
      <c r="O23" s="376"/>
    </row>
    <row r="24" spans="1:15" x14ac:dyDescent="0.25">
      <c r="A24" s="242">
        <v>18</v>
      </c>
      <c r="B24" s="243" t="s">
        <v>376</v>
      </c>
      <c r="C24" s="244" t="s">
        <v>332</v>
      </c>
      <c r="D24" s="368">
        <f>D7/D8</f>
        <v>8785.6</v>
      </c>
      <c r="E24" s="386"/>
      <c r="F24" s="378"/>
      <c r="G24" s="378"/>
      <c r="H24" s="378"/>
      <c r="I24" s="378"/>
      <c r="J24" s="378"/>
      <c r="K24" s="378"/>
      <c r="L24" s="378"/>
      <c r="M24" s="378"/>
      <c r="N24" s="378"/>
      <c r="O24" s="378"/>
    </row>
    <row r="25" spans="1:15" x14ac:dyDescent="0.25">
      <c r="A25" s="242">
        <v>19</v>
      </c>
      <c r="B25" s="243"/>
      <c r="C25" s="244"/>
      <c r="D25" s="364"/>
      <c r="E25" s="382"/>
      <c r="F25" s="374"/>
      <c r="G25" s="374"/>
      <c r="H25" s="374"/>
      <c r="I25" s="374"/>
      <c r="J25" s="374"/>
      <c r="K25" s="374"/>
      <c r="L25" s="374"/>
      <c r="M25" s="374"/>
      <c r="N25" s="374"/>
      <c r="O25" s="374"/>
    </row>
    <row r="26" spans="1:15" ht="15.75" thickBot="1" x14ac:dyDescent="0.3">
      <c r="A26" s="242">
        <v>20</v>
      </c>
      <c r="B26" s="243"/>
      <c r="C26" s="244"/>
      <c r="D26" s="364"/>
      <c r="E26" s="382"/>
      <c r="F26" s="374"/>
      <c r="G26" s="374"/>
      <c r="H26" s="374"/>
      <c r="I26" s="374"/>
      <c r="J26" s="374"/>
      <c r="K26" s="374"/>
      <c r="L26" s="374"/>
      <c r="M26" s="374"/>
      <c r="N26" s="374"/>
      <c r="O26" s="374"/>
    </row>
    <row r="27" spans="1:15" x14ac:dyDescent="0.25">
      <c r="A27" s="480" t="s">
        <v>1</v>
      </c>
      <c r="B27" s="272" t="s">
        <v>107</v>
      </c>
      <c r="C27" s="267" t="s">
        <v>3</v>
      </c>
      <c r="D27" s="363" t="s">
        <v>370</v>
      </c>
      <c r="E27" s="382"/>
      <c r="F27" s="374"/>
      <c r="G27" s="374"/>
      <c r="H27" s="374"/>
      <c r="I27" s="374"/>
      <c r="J27" s="374"/>
      <c r="K27" s="374"/>
      <c r="L27" s="374"/>
      <c r="M27" s="374"/>
      <c r="N27" s="374"/>
      <c r="O27" s="374"/>
    </row>
    <row r="28" spans="1:15" x14ac:dyDescent="0.25">
      <c r="A28" s="242">
        <v>1</v>
      </c>
      <c r="B28" s="276" t="s">
        <v>273</v>
      </c>
      <c r="C28" s="245" t="s">
        <v>351</v>
      </c>
      <c r="D28" s="400">
        <f>AVERAGE('INDICADORES TÉCNICOS MENSAIS'!D28:O28)</f>
        <v>0</v>
      </c>
      <c r="E28" s="396"/>
      <c r="F28" s="260"/>
      <c r="G28" s="260"/>
      <c r="H28" s="260"/>
      <c r="I28" s="260"/>
      <c r="J28" s="260"/>
      <c r="K28" s="260"/>
      <c r="L28" s="260"/>
      <c r="M28" s="260"/>
      <c r="N28" s="260"/>
      <c r="O28" s="260"/>
    </row>
    <row r="29" spans="1:15" x14ac:dyDescent="0.25">
      <c r="A29" s="242">
        <v>2</v>
      </c>
      <c r="B29" s="276" t="s">
        <v>274</v>
      </c>
      <c r="C29" s="245" t="s">
        <v>351</v>
      </c>
      <c r="D29" s="400">
        <f>AVERAGE('INDICADORES TÉCNICOS MENSAIS'!D29:O29)</f>
        <v>8.3333333333333329E-2</v>
      </c>
      <c r="E29" s="396"/>
      <c r="F29" s="260"/>
      <c r="G29" s="260"/>
      <c r="H29" s="260"/>
      <c r="I29" s="260"/>
      <c r="J29" s="260"/>
      <c r="K29" s="260"/>
      <c r="L29" s="260"/>
      <c r="M29" s="260"/>
      <c r="N29" s="260"/>
      <c r="O29" s="260"/>
    </row>
    <row r="30" spans="1:15" x14ac:dyDescent="0.25">
      <c r="A30" s="242">
        <v>3</v>
      </c>
      <c r="B30" s="276" t="s">
        <v>275</v>
      </c>
      <c r="C30" s="245" t="s">
        <v>351</v>
      </c>
      <c r="D30" s="400">
        <f>AVERAGE('INDICADORES TÉCNICOS MENSAIS'!D30:O30)</f>
        <v>0.41666666666666669</v>
      </c>
      <c r="E30" s="396"/>
      <c r="F30" s="260"/>
      <c r="G30" s="260"/>
      <c r="H30" s="260"/>
      <c r="I30" s="260"/>
      <c r="J30" s="260"/>
      <c r="K30" s="260"/>
      <c r="L30" s="260"/>
      <c r="M30" s="260"/>
      <c r="N30" s="260"/>
      <c r="O30" s="260"/>
    </row>
    <row r="31" spans="1:15" x14ac:dyDescent="0.25">
      <c r="A31" s="242">
        <v>4</v>
      </c>
      <c r="B31" s="276" t="s">
        <v>276</v>
      </c>
      <c r="C31" s="245" t="s">
        <v>351</v>
      </c>
      <c r="D31" s="400">
        <f>AVERAGE('INDICADORES TÉCNICOS MENSAIS'!D31:O31)</f>
        <v>8.3333333333333329E-2</v>
      </c>
      <c r="E31" s="396"/>
      <c r="F31" s="260"/>
      <c r="G31" s="260"/>
      <c r="H31" s="260"/>
      <c r="I31" s="260"/>
      <c r="J31" s="260"/>
      <c r="K31" s="260"/>
      <c r="L31" s="260"/>
      <c r="M31" s="260"/>
      <c r="N31" s="260"/>
      <c r="O31" s="260"/>
    </row>
    <row r="32" spans="1:15" x14ac:dyDescent="0.25">
      <c r="A32" s="242">
        <v>5</v>
      </c>
      <c r="B32" s="276" t="s">
        <v>277</v>
      </c>
      <c r="C32" s="245" t="s">
        <v>351</v>
      </c>
      <c r="D32" s="400">
        <f>AVERAGE('INDICADORES TÉCNICOS MENSAIS'!D32:O32)</f>
        <v>8.3333333333333329E-2</v>
      </c>
      <c r="E32" s="396"/>
      <c r="F32" s="260"/>
      <c r="G32" s="260"/>
      <c r="H32" s="260"/>
      <c r="I32" s="260"/>
      <c r="J32" s="260"/>
      <c r="K32" s="260"/>
      <c r="L32" s="260"/>
      <c r="M32" s="260"/>
      <c r="N32" s="260"/>
      <c r="O32" s="260"/>
    </row>
    <row r="33" spans="1:15" x14ac:dyDescent="0.25">
      <c r="A33" s="242">
        <v>6</v>
      </c>
      <c r="B33" s="276" t="s">
        <v>278</v>
      </c>
      <c r="C33" s="245" t="s">
        <v>351</v>
      </c>
      <c r="D33" s="400">
        <f>AVERAGE('INDICADORES TÉCNICOS MENSAIS'!D33:O33)</f>
        <v>0</v>
      </c>
      <c r="E33" s="396"/>
      <c r="F33" s="260"/>
      <c r="G33" s="260"/>
      <c r="H33" s="260"/>
      <c r="I33" s="260"/>
      <c r="J33" s="260"/>
      <c r="K33" s="260"/>
      <c r="L33" s="260"/>
      <c r="M33" s="260"/>
      <c r="N33" s="260"/>
      <c r="O33" s="260"/>
    </row>
    <row r="34" spans="1:15" x14ac:dyDescent="0.25">
      <c r="A34" s="242">
        <v>7</v>
      </c>
      <c r="B34" s="276" t="s">
        <v>279</v>
      </c>
      <c r="C34" s="245" t="s">
        <v>351</v>
      </c>
      <c r="D34" s="400">
        <f>AVERAGE('INDICADORES TÉCNICOS MENSAIS'!D34:O34)</f>
        <v>0</v>
      </c>
      <c r="E34" s="396"/>
      <c r="F34" s="260"/>
      <c r="G34" s="260"/>
      <c r="H34" s="260"/>
      <c r="I34" s="260"/>
      <c r="J34" s="260"/>
      <c r="K34" s="260"/>
      <c r="L34" s="260"/>
      <c r="M34" s="260"/>
      <c r="N34" s="260"/>
      <c r="O34" s="260"/>
    </row>
    <row r="35" spans="1:15" x14ac:dyDescent="0.25">
      <c r="A35" s="242">
        <v>8</v>
      </c>
      <c r="B35" s="276" t="s">
        <v>280</v>
      </c>
      <c r="C35" s="245" t="s">
        <v>351</v>
      </c>
      <c r="D35" s="400">
        <f>AVERAGE('INDICADORES TÉCNICOS MENSAIS'!D35:O35)</f>
        <v>0</v>
      </c>
      <c r="E35" s="396"/>
      <c r="F35" s="260"/>
      <c r="G35" s="260"/>
      <c r="H35" s="260"/>
      <c r="I35" s="260"/>
      <c r="J35" s="260"/>
      <c r="K35" s="260"/>
      <c r="L35" s="260"/>
      <c r="M35" s="260"/>
      <c r="N35" s="260"/>
      <c r="O35" s="260"/>
    </row>
    <row r="36" spans="1:15" x14ac:dyDescent="0.25">
      <c r="A36" s="242">
        <v>9</v>
      </c>
      <c r="B36" s="242"/>
      <c r="C36" s="244"/>
      <c r="D36" s="366"/>
      <c r="E36" s="384"/>
      <c r="F36" s="376"/>
      <c r="G36" s="376"/>
      <c r="H36" s="376"/>
      <c r="I36" s="376"/>
      <c r="J36" s="376"/>
      <c r="K36" s="376"/>
      <c r="L36" s="376"/>
      <c r="M36" s="376"/>
      <c r="N36" s="376"/>
      <c r="O36" s="376"/>
    </row>
    <row r="37" spans="1:15" s="241" customFormat="1" x14ac:dyDescent="0.25">
      <c r="A37" s="272"/>
      <c r="B37" s="272"/>
      <c r="C37" s="273"/>
      <c r="D37" s="394"/>
      <c r="E37" s="397"/>
      <c r="F37" s="395"/>
      <c r="G37" s="395"/>
      <c r="H37" s="395"/>
      <c r="I37" s="395"/>
      <c r="J37" s="395"/>
      <c r="K37" s="395"/>
      <c r="L37" s="395"/>
      <c r="M37" s="395"/>
      <c r="N37" s="395"/>
      <c r="O37" s="395"/>
    </row>
    <row r="38" spans="1:15" x14ac:dyDescent="0.25">
      <c r="A38" s="242"/>
      <c r="B38" s="332"/>
      <c r="C38" s="244"/>
      <c r="D38" s="364"/>
      <c r="E38" s="382"/>
      <c r="F38" s="374"/>
      <c r="G38" s="374"/>
      <c r="H38" s="374"/>
      <c r="I38" s="374"/>
      <c r="J38" s="374"/>
      <c r="K38" s="374"/>
      <c r="L38" s="374"/>
      <c r="M38" s="374"/>
      <c r="N38" s="374"/>
      <c r="O38" s="374"/>
    </row>
    <row r="39" spans="1:15" x14ac:dyDescent="0.25">
      <c r="A39" s="242"/>
      <c r="B39" s="332"/>
      <c r="C39" s="244"/>
      <c r="D39" s="364"/>
      <c r="E39" s="382"/>
      <c r="F39" s="374"/>
      <c r="G39" s="374"/>
      <c r="H39" s="374"/>
      <c r="I39" s="374"/>
      <c r="J39" s="374"/>
      <c r="K39" s="374"/>
      <c r="L39" s="374"/>
      <c r="M39" s="374"/>
      <c r="N39" s="374"/>
      <c r="O39" s="374"/>
    </row>
    <row r="40" spans="1:15" x14ac:dyDescent="0.25">
      <c r="A40" s="242"/>
      <c r="B40" s="332"/>
      <c r="C40" s="244"/>
      <c r="D40" s="364"/>
      <c r="E40" s="382"/>
      <c r="F40" s="374"/>
      <c r="G40" s="374"/>
      <c r="H40" s="374"/>
      <c r="I40" s="374"/>
      <c r="J40" s="374"/>
      <c r="K40" s="374"/>
      <c r="L40" s="374"/>
      <c r="M40" s="374"/>
      <c r="N40" s="374"/>
      <c r="O40" s="374"/>
    </row>
    <row r="41" spans="1:15" x14ac:dyDescent="0.25">
      <c r="A41" s="242"/>
      <c r="B41" s="332"/>
      <c r="C41" s="244"/>
      <c r="D41" s="364"/>
      <c r="E41" s="382"/>
      <c r="F41" s="374"/>
      <c r="G41" s="374"/>
      <c r="H41" s="374"/>
      <c r="I41" s="374"/>
      <c r="J41" s="374"/>
      <c r="K41" s="374"/>
      <c r="L41" s="374"/>
      <c r="M41" s="374"/>
      <c r="N41" s="374"/>
      <c r="O41" s="374"/>
    </row>
    <row r="42" spans="1:15" x14ac:dyDescent="0.25">
      <c r="A42" s="242"/>
      <c r="B42" s="332"/>
      <c r="C42" s="244"/>
      <c r="D42" s="364"/>
      <c r="E42" s="382"/>
      <c r="F42" s="374"/>
      <c r="G42" s="374"/>
      <c r="H42" s="374"/>
      <c r="I42" s="374"/>
      <c r="J42" s="374"/>
      <c r="K42" s="374"/>
      <c r="L42" s="374"/>
      <c r="M42" s="374"/>
      <c r="N42" s="374"/>
      <c r="O42" s="374"/>
    </row>
    <row r="43" spans="1:15" x14ac:dyDescent="0.25">
      <c r="A43" s="242"/>
      <c r="B43" s="243"/>
      <c r="C43" s="244"/>
      <c r="D43" s="364"/>
      <c r="E43" s="382"/>
      <c r="F43" s="374"/>
      <c r="G43" s="374"/>
      <c r="H43" s="374"/>
      <c r="I43" s="374"/>
      <c r="J43" s="374"/>
      <c r="K43" s="374"/>
      <c r="L43" s="374"/>
      <c r="M43" s="374"/>
      <c r="N43" s="374"/>
      <c r="O43" s="374"/>
    </row>
    <row r="44" spans="1:15" x14ac:dyDescent="0.25">
      <c r="A44" s="242"/>
      <c r="B44" s="243"/>
      <c r="C44" s="244"/>
      <c r="D44" s="364"/>
      <c r="E44" s="382"/>
      <c r="F44" s="374"/>
      <c r="G44" s="374"/>
      <c r="H44" s="374"/>
      <c r="I44" s="374"/>
      <c r="J44" s="374"/>
      <c r="K44" s="374"/>
      <c r="L44" s="374"/>
      <c r="M44" s="374"/>
      <c r="N44" s="374"/>
      <c r="O44" s="374"/>
    </row>
    <row r="45" spans="1:15" x14ac:dyDescent="0.25">
      <c r="A45" s="242"/>
      <c r="B45" s="243"/>
      <c r="C45" s="244"/>
      <c r="D45" s="364"/>
      <c r="E45" s="382"/>
      <c r="F45" s="374"/>
      <c r="G45" s="374"/>
      <c r="H45" s="374"/>
      <c r="I45" s="374"/>
      <c r="J45" s="374"/>
      <c r="K45" s="374"/>
      <c r="L45" s="374"/>
      <c r="M45" s="374"/>
      <c r="N45" s="374"/>
      <c r="O45" s="374"/>
    </row>
    <row r="46" spans="1:15" x14ac:dyDescent="0.25">
      <c r="A46" s="242"/>
      <c r="B46" s="243"/>
      <c r="C46" s="244"/>
      <c r="D46" s="364"/>
      <c r="E46" s="382"/>
      <c r="F46" s="374"/>
      <c r="G46" s="374"/>
      <c r="H46" s="374"/>
      <c r="I46" s="374"/>
      <c r="J46" s="374"/>
      <c r="K46" s="374"/>
      <c r="L46" s="374"/>
      <c r="M46" s="374"/>
      <c r="N46" s="374"/>
      <c r="O46" s="374"/>
    </row>
    <row r="47" spans="1:15" x14ac:dyDescent="0.25">
      <c r="A47" s="242"/>
      <c r="B47" s="243"/>
      <c r="C47" s="244"/>
      <c r="D47" s="364"/>
      <c r="E47" s="382"/>
      <c r="F47" s="374"/>
      <c r="G47" s="374"/>
      <c r="H47" s="374"/>
      <c r="I47" s="374"/>
      <c r="J47" s="374"/>
      <c r="K47" s="374"/>
      <c r="L47" s="374"/>
      <c r="M47" s="374"/>
      <c r="N47" s="374"/>
      <c r="O47" s="374"/>
    </row>
    <row r="48" spans="1:15" x14ac:dyDescent="0.25">
      <c r="A48" s="242"/>
      <c r="B48" s="243"/>
      <c r="C48" s="244"/>
      <c r="D48" s="364"/>
      <c r="E48" s="382"/>
      <c r="F48" s="374"/>
      <c r="G48" s="374"/>
      <c r="H48" s="374"/>
      <c r="I48" s="374"/>
      <c r="J48" s="374"/>
      <c r="K48" s="374"/>
      <c r="L48" s="374"/>
      <c r="M48" s="374"/>
      <c r="N48" s="374"/>
      <c r="O48" s="374"/>
    </row>
    <row r="49" spans="1:15" x14ac:dyDescent="0.25">
      <c r="A49" s="242"/>
      <c r="B49" s="243"/>
      <c r="C49" s="244"/>
      <c r="D49" s="364"/>
      <c r="E49" s="382"/>
      <c r="F49" s="374"/>
      <c r="G49" s="374"/>
      <c r="H49" s="374"/>
      <c r="I49" s="374"/>
      <c r="J49" s="374"/>
      <c r="K49" s="374"/>
      <c r="L49" s="374"/>
      <c r="M49" s="374"/>
      <c r="N49" s="374"/>
      <c r="O49" s="374"/>
    </row>
    <row r="50" spans="1:15" x14ac:dyDescent="0.25">
      <c r="A50" s="242"/>
      <c r="B50" s="243"/>
      <c r="C50" s="244"/>
      <c r="D50" s="364"/>
      <c r="E50" s="382"/>
      <c r="F50" s="374"/>
      <c r="G50" s="374"/>
      <c r="H50" s="374"/>
      <c r="I50" s="374"/>
      <c r="J50" s="374"/>
      <c r="K50" s="374"/>
      <c r="L50" s="374"/>
      <c r="M50" s="374"/>
      <c r="N50" s="374"/>
      <c r="O50" s="374"/>
    </row>
    <row r="51" spans="1:15" x14ac:dyDescent="0.25">
      <c r="A51" s="242"/>
      <c r="B51" s="243"/>
      <c r="C51" s="244"/>
      <c r="D51" s="364"/>
      <c r="E51" s="382"/>
      <c r="F51" s="374"/>
      <c r="G51" s="374"/>
      <c r="H51" s="374"/>
      <c r="I51" s="374"/>
      <c r="J51" s="374"/>
      <c r="K51" s="374"/>
      <c r="L51" s="374"/>
      <c r="M51" s="374"/>
      <c r="N51" s="374"/>
      <c r="O51" s="374"/>
    </row>
    <row r="52" spans="1:15" x14ac:dyDescent="0.25">
      <c r="A52" s="242"/>
      <c r="B52" s="243"/>
      <c r="C52" s="244"/>
      <c r="D52" s="364"/>
      <c r="E52" s="382"/>
      <c r="F52" s="374"/>
      <c r="G52" s="374"/>
      <c r="H52" s="374"/>
      <c r="I52" s="374"/>
      <c r="J52" s="374"/>
      <c r="K52" s="374"/>
      <c r="L52" s="374"/>
      <c r="M52" s="374"/>
      <c r="N52" s="374"/>
      <c r="O52" s="374"/>
    </row>
    <row r="53" spans="1:15" x14ac:dyDescent="0.25">
      <c r="A53" s="242"/>
      <c r="B53" s="243"/>
      <c r="C53" s="244"/>
      <c r="D53" s="364"/>
      <c r="E53" s="382"/>
      <c r="F53" s="374"/>
      <c r="G53" s="374"/>
      <c r="H53" s="374"/>
      <c r="I53" s="374"/>
      <c r="J53" s="374"/>
      <c r="K53" s="374"/>
      <c r="L53" s="374"/>
      <c r="M53" s="374"/>
      <c r="N53" s="374"/>
      <c r="O53" s="374"/>
    </row>
    <row r="54" spans="1:15" x14ac:dyDescent="0.25">
      <c r="A54" s="242"/>
      <c r="B54" s="243"/>
      <c r="C54" s="244"/>
      <c r="D54" s="364"/>
      <c r="E54" s="382"/>
      <c r="F54" s="374"/>
      <c r="G54" s="374"/>
      <c r="H54" s="374"/>
      <c r="I54" s="374"/>
      <c r="J54" s="374"/>
      <c r="K54" s="374"/>
      <c r="L54" s="374"/>
      <c r="M54" s="374"/>
      <c r="N54" s="374"/>
      <c r="O54" s="374"/>
    </row>
    <row r="55" spans="1:15" x14ac:dyDescent="0.25">
      <c r="A55" s="242"/>
      <c r="B55" s="243"/>
      <c r="C55" s="244"/>
      <c r="D55" s="364"/>
      <c r="E55" s="382"/>
      <c r="F55" s="374"/>
      <c r="G55" s="374"/>
      <c r="H55" s="374"/>
      <c r="I55" s="374"/>
      <c r="J55" s="374"/>
      <c r="K55" s="374"/>
      <c r="L55" s="374"/>
      <c r="M55" s="374"/>
      <c r="N55" s="374"/>
      <c r="O55" s="374"/>
    </row>
    <row r="56" spans="1:15" x14ac:dyDescent="0.25">
      <c r="A56" s="242"/>
      <c r="B56" s="243"/>
      <c r="C56" s="244"/>
      <c r="D56" s="364"/>
      <c r="E56" s="382"/>
      <c r="F56" s="374"/>
      <c r="G56" s="374"/>
      <c r="H56" s="374"/>
      <c r="I56" s="374"/>
      <c r="J56" s="374"/>
      <c r="K56" s="374"/>
      <c r="L56" s="374"/>
      <c r="M56" s="374"/>
      <c r="N56" s="374"/>
      <c r="O56" s="374"/>
    </row>
    <row r="57" spans="1:15" x14ac:dyDescent="0.25">
      <c r="A57" s="242"/>
      <c r="B57" s="243"/>
      <c r="C57" s="244"/>
      <c r="D57" s="371"/>
      <c r="E57" s="382"/>
      <c r="F57" s="374"/>
      <c r="G57" s="374"/>
      <c r="H57" s="374"/>
      <c r="I57" s="374"/>
      <c r="J57" s="374"/>
      <c r="K57" s="374"/>
      <c r="L57" s="374"/>
      <c r="M57" s="374"/>
      <c r="N57" s="374"/>
      <c r="O57" s="374"/>
    </row>
    <row r="58" spans="1:15" x14ac:dyDescent="0.25">
      <c r="A58" s="242"/>
      <c r="B58" s="243"/>
      <c r="C58" s="244"/>
      <c r="D58" s="371"/>
      <c r="E58" s="382"/>
      <c r="F58" s="374"/>
      <c r="G58" s="374"/>
      <c r="H58" s="374"/>
      <c r="I58" s="374"/>
      <c r="J58" s="374"/>
      <c r="K58" s="374"/>
      <c r="L58" s="374"/>
      <c r="M58" s="374"/>
      <c r="N58" s="374"/>
      <c r="O58" s="374"/>
    </row>
    <row r="59" spans="1:15" x14ac:dyDescent="0.25">
      <c r="A59" s="260"/>
      <c r="B59" s="243"/>
      <c r="C59" s="250"/>
      <c r="D59" s="372"/>
      <c r="E59" s="389"/>
      <c r="F59" s="381"/>
      <c r="G59" s="381"/>
      <c r="H59" s="381"/>
      <c r="I59" s="381"/>
      <c r="J59" s="381"/>
      <c r="K59" s="381"/>
      <c r="L59" s="381"/>
      <c r="M59" s="381"/>
      <c r="N59" s="381"/>
      <c r="O59" s="381"/>
    </row>
    <row r="60" spans="1:15" x14ac:dyDescent="0.25">
      <c r="B60" s="251"/>
      <c r="C60" s="250"/>
      <c r="D60" s="372"/>
      <c r="E60" s="389"/>
      <c r="F60" s="381"/>
      <c r="G60" s="381"/>
      <c r="H60" s="381"/>
      <c r="I60" s="381"/>
      <c r="J60" s="381"/>
      <c r="K60" s="381"/>
      <c r="L60" s="381"/>
      <c r="M60" s="381"/>
      <c r="N60" s="381"/>
      <c r="O60" s="381"/>
    </row>
    <row r="61" spans="1:15" ht="15.75" thickBot="1" x14ac:dyDescent="0.3">
      <c r="B61" s="279"/>
      <c r="C61" s="280"/>
      <c r="D61" s="373"/>
      <c r="E61" s="390"/>
      <c r="F61" s="263"/>
      <c r="G61" s="263"/>
      <c r="H61" s="263"/>
      <c r="I61" s="263"/>
      <c r="J61" s="263"/>
      <c r="K61" s="263"/>
      <c r="L61" s="263"/>
      <c r="M61" s="263"/>
      <c r="N61" s="263"/>
      <c r="O61" s="263"/>
    </row>
    <row r="62" spans="1:15" x14ac:dyDescent="0.25">
      <c r="B62" s="261"/>
      <c r="C62" s="262"/>
      <c r="D62" s="263"/>
    </row>
  </sheetData>
  <sheetProtection algorithmName="SHA-512" hashValue="UMkKEBg7yPKY6W9H5zax1tgmaDzJz0XvQ3Tzj3nu89mrCB2WtQuOl/ObNwrXiZ/QOv4/EB9yoXfYRO2xzNktDw==" saltValue="4a9dCvnQcL2WOtGmm2dbXQ==" spinCount="100000" sheet="1" objects="1" scenarios="1"/>
  <mergeCells count="1">
    <mergeCell ref="B2:C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200025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N23"/>
  <sheetViews>
    <sheetView workbookViewId="0">
      <selection activeCell="B18" sqref="B18"/>
    </sheetView>
  </sheetViews>
  <sheetFormatPr defaultRowHeight="15" x14ac:dyDescent="0.25"/>
  <cols>
    <col min="1" max="1" width="7.85546875" bestFit="1" customWidth="1"/>
    <col min="2" max="2" width="24.85546875" bestFit="1" customWidth="1"/>
    <col min="3" max="3" width="17.42578125" customWidth="1"/>
    <col min="4" max="4" width="13.28515625" bestFit="1" customWidth="1"/>
    <col min="6" max="6" width="5.7109375" customWidth="1"/>
    <col min="7" max="7" width="45" bestFit="1" customWidth="1"/>
    <col min="8" max="8" width="19.5703125" customWidth="1"/>
    <col min="10" max="10" width="20.85546875" customWidth="1"/>
    <col min="11" max="11" width="11.7109375" customWidth="1"/>
  </cols>
  <sheetData>
    <row r="1" spans="1:11" ht="18.75" x14ac:dyDescent="0.3">
      <c r="A1" s="539" t="s">
        <v>213</v>
      </c>
      <c r="B1" s="540"/>
      <c r="C1" s="540"/>
      <c r="D1" s="540"/>
      <c r="E1" s="541"/>
      <c r="G1" s="539" t="s">
        <v>214</v>
      </c>
      <c r="H1" s="541"/>
      <c r="J1" s="542" t="s">
        <v>215</v>
      </c>
      <c r="K1" s="543"/>
    </row>
    <row r="2" spans="1:11" ht="15.75" x14ac:dyDescent="0.25">
      <c r="A2" s="148"/>
      <c r="B2" s="149"/>
      <c r="C2" s="149"/>
      <c r="D2" s="149"/>
      <c r="E2" s="150"/>
      <c r="G2" s="148"/>
      <c r="H2" s="150"/>
      <c r="J2" s="151"/>
      <c r="K2" s="152" t="s">
        <v>12</v>
      </c>
    </row>
    <row r="3" spans="1:11" ht="15.75" x14ac:dyDescent="0.25">
      <c r="A3" s="535" t="s">
        <v>216</v>
      </c>
      <c r="B3" s="544"/>
      <c r="C3" s="545"/>
      <c r="D3" s="545"/>
      <c r="E3" s="546"/>
      <c r="G3" s="153"/>
      <c r="H3" s="154"/>
      <c r="J3" s="155" t="s">
        <v>217</v>
      </c>
      <c r="K3" s="156">
        <v>35</v>
      </c>
    </row>
    <row r="4" spans="1:11" ht="15.75" x14ac:dyDescent="0.25">
      <c r="A4" s="535"/>
      <c r="B4" s="536"/>
      <c r="C4" s="537"/>
      <c r="D4" s="537"/>
      <c r="E4" s="538"/>
      <c r="G4" s="157" t="s">
        <v>218</v>
      </c>
      <c r="H4" s="154">
        <f>D14</f>
        <v>0</v>
      </c>
      <c r="J4" s="155" t="s">
        <v>219</v>
      </c>
      <c r="K4" s="156">
        <v>37</v>
      </c>
    </row>
    <row r="5" spans="1:11" ht="15.75" x14ac:dyDescent="0.25">
      <c r="A5" s="148"/>
      <c r="B5" s="149"/>
      <c r="C5" s="149"/>
      <c r="D5" s="149"/>
      <c r="E5" s="150"/>
      <c r="G5" s="157" t="s">
        <v>220</v>
      </c>
      <c r="H5" s="158">
        <f>H4*450/1000</f>
        <v>0</v>
      </c>
      <c r="J5" s="155" t="s">
        <v>221</v>
      </c>
      <c r="K5" s="156">
        <v>23</v>
      </c>
    </row>
    <row r="6" spans="1:11" ht="15.75" x14ac:dyDescent="0.25">
      <c r="A6" s="159" t="s">
        <v>222</v>
      </c>
      <c r="B6" s="159" t="s">
        <v>109</v>
      </c>
      <c r="C6" s="159" t="s">
        <v>223</v>
      </c>
      <c r="D6" s="159" t="s">
        <v>224</v>
      </c>
      <c r="E6" s="150"/>
      <c r="G6" s="153" t="s">
        <v>225</v>
      </c>
      <c r="H6" s="160"/>
      <c r="J6" s="155" t="s">
        <v>226</v>
      </c>
      <c r="K6" s="156">
        <v>92</v>
      </c>
    </row>
    <row r="7" spans="1:11" ht="15.75" x14ac:dyDescent="0.25">
      <c r="A7" s="161"/>
      <c r="B7" s="162" t="s">
        <v>227</v>
      </c>
      <c r="C7" s="161"/>
      <c r="D7" s="163">
        <f>SUM(D8:D12)</f>
        <v>0</v>
      </c>
      <c r="E7" s="150"/>
      <c r="G7" s="153" t="s">
        <v>228</v>
      </c>
      <c r="H7" s="164">
        <f>H6*H5</f>
        <v>0</v>
      </c>
      <c r="J7" s="155" t="s">
        <v>229</v>
      </c>
      <c r="K7" s="156">
        <v>85</v>
      </c>
    </row>
    <row r="8" spans="1:11" ht="15.75" x14ac:dyDescent="0.25">
      <c r="A8" s="165"/>
      <c r="B8" s="161" t="s">
        <v>230</v>
      </c>
      <c r="C8" s="166">
        <v>1.5</v>
      </c>
      <c r="D8" s="167">
        <f t="shared" ref="D8:D13" si="0">A8*C8</f>
        <v>0</v>
      </c>
      <c r="E8" s="150"/>
      <c r="G8" s="157" t="s">
        <v>231</v>
      </c>
      <c r="H8" s="160"/>
      <c r="J8" s="155" t="s">
        <v>137</v>
      </c>
      <c r="K8" s="156">
        <v>10</v>
      </c>
    </row>
    <row r="9" spans="1:11" ht="15.75" x14ac:dyDescent="0.25">
      <c r="A9" s="165"/>
      <c r="B9" s="161" t="s">
        <v>232</v>
      </c>
      <c r="C9" s="166">
        <v>1</v>
      </c>
      <c r="D9" s="167">
        <f t="shared" si="0"/>
        <v>0</v>
      </c>
      <c r="E9" s="150"/>
      <c r="G9" s="157" t="s">
        <v>233</v>
      </c>
      <c r="H9" s="160"/>
      <c r="J9" s="155" t="s">
        <v>234</v>
      </c>
      <c r="K9" s="156">
        <v>23</v>
      </c>
    </row>
    <row r="10" spans="1:11" ht="15.75" x14ac:dyDescent="0.25">
      <c r="A10" s="165"/>
      <c r="B10" s="161" t="s">
        <v>235</v>
      </c>
      <c r="C10" s="166">
        <v>1</v>
      </c>
      <c r="D10" s="167">
        <f t="shared" si="0"/>
        <v>0</v>
      </c>
      <c r="E10" s="150"/>
      <c r="G10" s="157" t="s">
        <v>236</v>
      </c>
      <c r="H10" s="164" t="e">
        <f>H7/H8*H9</f>
        <v>#DIV/0!</v>
      </c>
      <c r="J10" s="168"/>
      <c r="K10" s="158"/>
    </row>
    <row r="11" spans="1:11" ht="15.75" x14ac:dyDescent="0.25">
      <c r="A11" s="165"/>
      <c r="B11" s="161" t="s">
        <v>237</v>
      </c>
      <c r="C11" s="166">
        <v>0.5</v>
      </c>
      <c r="D11" s="167">
        <f t="shared" si="0"/>
        <v>0</v>
      </c>
      <c r="E11" s="150"/>
      <c r="G11" s="157" t="s">
        <v>238</v>
      </c>
      <c r="H11" s="169" t="e">
        <f>H10*1000</f>
        <v>#DIV/0!</v>
      </c>
      <c r="J11" s="168"/>
      <c r="K11" s="158"/>
    </row>
    <row r="12" spans="1:11" ht="15.75" x14ac:dyDescent="0.25">
      <c r="A12" s="170"/>
      <c r="B12" s="171" t="s">
        <v>239</v>
      </c>
      <c r="C12" s="172">
        <v>0.33</v>
      </c>
      <c r="D12" s="167">
        <f t="shared" si="0"/>
        <v>0</v>
      </c>
      <c r="E12" s="150"/>
      <c r="G12" s="157" t="s">
        <v>240</v>
      </c>
      <c r="H12" s="173"/>
      <c r="J12" s="168"/>
      <c r="K12" s="158"/>
    </row>
    <row r="13" spans="1:11" ht="15.75" x14ac:dyDescent="0.25">
      <c r="A13" s="170"/>
      <c r="B13" s="174" t="s">
        <v>241</v>
      </c>
      <c r="C13" s="172">
        <v>1.5</v>
      </c>
      <c r="D13" s="175">
        <f t="shared" si="0"/>
        <v>0</v>
      </c>
      <c r="E13" s="150"/>
      <c r="G13" s="157" t="s">
        <v>242</v>
      </c>
      <c r="H13" s="169" t="e">
        <f>H10*H12</f>
        <v>#DIV/0!</v>
      </c>
      <c r="J13" s="168"/>
      <c r="K13" s="158"/>
    </row>
    <row r="14" spans="1:11" ht="15.75" x14ac:dyDescent="0.25">
      <c r="A14" s="148"/>
      <c r="B14" s="149"/>
      <c r="C14" s="176" t="s">
        <v>243</v>
      </c>
      <c r="D14" s="177">
        <f>SUM(D8:D13)</f>
        <v>0</v>
      </c>
      <c r="E14" s="150"/>
      <c r="G14" s="153" t="s">
        <v>244</v>
      </c>
      <c r="H14" s="169" t="e">
        <f>H11*H12</f>
        <v>#DIV/0!</v>
      </c>
      <c r="J14" s="178"/>
      <c r="K14" s="158"/>
    </row>
    <row r="15" spans="1:11" ht="15.75" x14ac:dyDescent="0.25">
      <c r="A15" s="179"/>
      <c r="B15" s="180"/>
      <c r="C15" s="181"/>
      <c r="D15" s="182"/>
      <c r="E15" s="183"/>
      <c r="G15" s="401" t="s">
        <v>388</v>
      </c>
      <c r="H15" s="184" t="e">
        <f>H13/0.6</f>
        <v>#DIV/0!</v>
      </c>
      <c r="J15" s="185"/>
      <c r="K15" s="186"/>
    </row>
    <row r="17" spans="1:14" x14ac:dyDescent="0.25">
      <c r="A17" s="187" t="s">
        <v>245</v>
      </c>
      <c r="B17" s="188" t="s">
        <v>246</v>
      </c>
      <c r="C17" s="189" t="s">
        <v>247</v>
      </c>
      <c r="D17" s="190"/>
      <c r="E17" s="190"/>
    </row>
    <row r="18" spans="1:14" x14ac:dyDescent="0.25">
      <c r="A18" s="191"/>
      <c r="B18" s="192">
        <v>3</v>
      </c>
      <c r="C18" s="193">
        <f>A18/B18</f>
        <v>0</v>
      </c>
    </row>
    <row r="19" spans="1:14" x14ac:dyDescent="0.25">
      <c r="B19" s="194"/>
    </row>
    <row r="20" spans="1:14" ht="18.75" x14ac:dyDescent="0.3">
      <c r="B20" s="194"/>
      <c r="G20" s="402"/>
      <c r="H20" s="403"/>
      <c r="I20" s="403"/>
      <c r="J20" s="403"/>
      <c r="K20" s="403"/>
      <c r="L20" s="403"/>
      <c r="M20" s="403"/>
      <c r="N20" s="403"/>
    </row>
    <row r="21" spans="1:14" x14ac:dyDescent="0.25">
      <c r="B21" s="194"/>
    </row>
    <row r="22" spans="1:14" x14ac:dyDescent="0.25">
      <c r="B22" s="194"/>
    </row>
    <row r="23" spans="1:14" x14ac:dyDescent="0.25">
      <c r="B23" s="194"/>
    </row>
  </sheetData>
  <sheetProtection algorithmName="SHA-512" hashValue="60A0aTkXlCnU/g+uW+gAHkC2X6KEW2V9tRo/S2XdiEGq448Uqt8KvueW5CivqEIrUfb3PuqkqqViqfyRLEjZ3Q==" saltValue="FO87g1At96A42kc6mCUq4Q==" spinCount="100000" sheet="1" objects="1" scenarios="1"/>
  <mergeCells count="7">
    <mergeCell ref="A4:B4"/>
    <mergeCell ref="C4:E4"/>
    <mergeCell ref="A1:E1"/>
    <mergeCell ref="G1:H1"/>
    <mergeCell ref="J1:K1"/>
    <mergeCell ref="A3:B3"/>
    <mergeCell ref="C3:E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1</xdr:col>
                    <xdr:colOff>47625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2:E150"/>
  <sheetViews>
    <sheetView workbookViewId="0">
      <selection activeCell="E4" sqref="E4"/>
    </sheetView>
  </sheetViews>
  <sheetFormatPr defaultColWidth="9.140625" defaultRowHeight="15" x14ac:dyDescent="0.25"/>
  <cols>
    <col min="1" max="1" width="38.85546875" style="1" customWidth="1"/>
    <col min="2" max="2" width="10.28515625" style="1" bestFit="1" customWidth="1"/>
    <col min="3" max="3" width="10.42578125" style="1" bestFit="1" customWidth="1"/>
    <col min="4" max="4" width="14.5703125" style="1" bestFit="1" customWidth="1"/>
    <col min="5" max="5" width="14" style="1" bestFit="1" customWidth="1"/>
    <col min="6" max="16384" width="9.140625" style="1"/>
  </cols>
  <sheetData>
    <row r="2" spans="1:5" ht="20.25" customHeight="1" x14ac:dyDescent="0.25">
      <c r="A2" s="136" t="s">
        <v>425</v>
      </c>
      <c r="B2" s="547"/>
      <c r="C2" s="547"/>
      <c r="D2" s="123"/>
      <c r="E2" s="428"/>
    </row>
    <row r="3" spans="1:5" x14ac:dyDescent="0.25">
      <c r="A3" s="136"/>
      <c r="B3" s="123"/>
      <c r="C3" s="123"/>
      <c r="D3" s="123"/>
      <c r="E3" s="428"/>
    </row>
    <row r="4" spans="1:5" x14ac:dyDescent="0.25">
      <c r="A4" s="412" t="s">
        <v>390</v>
      </c>
      <c r="B4" s="412" t="s">
        <v>3</v>
      </c>
      <c r="C4" s="412" t="s">
        <v>391</v>
      </c>
      <c r="D4" s="412" t="s">
        <v>392</v>
      </c>
      <c r="E4" s="414" t="s">
        <v>393</v>
      </c>
    </row>
    <row r="5" spans="1:5" x14ac:dyDescent="0.25">
      <c r="A5" s="413" t="s">
        <v>394</v>
      </c>
      <c r="B5" s="414" t="s">
        <v>395</v>
      </c>
      <c r="C5" s="407"/>
      <c r="D5" s="415">
        <f t="shared" ref="D5:D18" si="0">+C5*$B$20</f>
        <v>0</v>
      </c>
      <c r="E5" s="407"/>
    </row>
    <row r="6" spans="1:5" x14ac:dyDescent="0.25">
      <c r="A6" s="413" t="s">
        <v>396</v>
      </c>
      <c r="B6" s="414" t="s">
        <v>397</v>
      </c>
      <c r="C6" s="407"/>
      <c r="D6" s="415">
        <f t="shared" si="0"/>
        <v>0</v>
      </c>
      <c r="E6" s="407"/>
    </row>
    <row r="7" spans="1:5" x14ac:dyDescent="0.25">
      <c r="A7" s="413" t="s">
        <v>398</v>
      </c>
      <c r="B7" s="414" t="s">
        <v>397</v>
      </c>
      <c r="C7" s="407"/>
      <c r="D7" s="415">
        <f t="shared" si="0"/>
        <v>0</v>
      </c>
      <c r="E7" s="407"/>
    </row>
    <row r="8" spans="1:5" x14ac:dyDescent="0.25">
      <c r="A8" s="413" t="s">
        <v>399</v>
      </c>
      <c r="B8" s="414" t="s">
        <v>397</v>
      </c>
      <c r="C8" s="407"/>
      <c r="D8" s="415">
        <f t="shared" si="0"/>
        <v>0</v>
      </c>
      <c r="E8" s="407"/>
    </row>
    <row r="9" spans="1:5" x14ac:dyDescent="0.25">
      <c r="A9" s="413" t="s">
        <v>400</v>
      </c>
      <c r="B9" s="414" t="s">
        <v>397</v>
      </c>
      <c r="C9" s="407"/>
      <c r="D9" s="415">
        <f t="shared" si="0"/>
        <v>0</v>
      </c>
      <c r="E9" s="407"/>
    </row>
    <row r="10" spans="1:5" x14ac:dyDescent="0.25">
      <c r="A10" s="413" t="s">
        <v>401</v>
      </c>
      <c r="B10" s="414" t="s">
        <v>402</v>
      </c>
      <c r="C10" s="407"/>
      <c r="D10" s="415">
        <f t="shared" si="0"/>
        <v>0</v>
      </c>
      <c r="E10" s="407"/>
    </row>
    <row r="11" spans="1:5" x14ac:dyDescent="0.25">
      <c r="A11" s="413" t="s">
        <v>403</v>
      </c>
      <c r="B11" s="414" t="s">
        <v>404</v>
      </c>
      <c r="C11" s="407"/>
      <c r="D11" s="415">
        <f t="shared" si="0"/>
        <v>0</v>
      </c>
      <c r="E11" s="407"/>
    </row>
    <row r="12" spans="1:5" x14ac:dyDescent="0.25">
      <c r="A12" s="413" t="s">
        <v>405</v>
      </c>
      <c r="B12" s="414" t="s">
        <v>406</v>
      </c>
      <c r="C12" s="407"/>
      <c r="D12" s="415">
        <f t="shared" si="0"/>
        <v>0</v>
      </c>
      <c r="E12" s="407"/>
    </row>
    <row r="13" spans="1:5" x14ac:dyDescent="0.25">
      <c r="A13" s="413" t="s">
        <v>407</v>
      </c>
      <c r="B13" s="414" t="s">
        <v>406</v>
      </c>
      <c r="C13" s="407"/>
      <c r="D13" s="415">
        <f t="shared" si="0"/>
        <v>0</v>
      </c>
      <c r="E13" s="407"/>
    </row>
    <row r="14" spans="1:5" x14ac:dyDescent="0.25">
      <c r="A14" s="413" t="s">
        <v>408</v>
      </c>
      <c r="B14" s="414" t="s">
        <v>406</v>
      </c>
      <c r="C14" s="407"/>
      <c r="D14" s="415">
        <f t="shared" si="0"/>
        <v>0</v>
      </c>
      <c r="E14" s="407"/>
    </row>
    <row r="15" spans="1:5" x14ac:dyDescent="0.25">
      <c r="A15" s="413" t="s">
        <v>409</v>
      </c>
      <c r="B15" s="414" t="s">
        <v>21</v>
      </c>
      <c r="C15" s="407"/>
      <c r="D15" s="415">
        <f t="shared" si="0"/>
        <v>0</v>
      </c>
      <c r="E15" s="415">
        <v>1</v>
      </c>
    </row>
    <row r="16" spans="1:5" x14ac:dyDescent="0.25">
      <c r="A16" s="413" t="s">
        <v>55</v>
      </c>
      <c r="B16" s="414" t="s">
        <v>21</v>
      </c>
      <c r="C16" s="407"/>
      <c r="D16" s="415">
        <f t="shared" si="0"/>
        <v>0</v>
      </c>
      <c r="E16" s="415">
        <v>1</v>
      </c>
    </row>
    <row r="17" spans="1:5" x14ac:dyDescent="0.25">
      <c r="A17" s="413" t="s">
        <v>55</v>
      </c>
      <c r="B17" s="414" t="s">
        <v>21</v>
      </c>
      <c r="C17" s="407"/>
      <c r="D17" s="415">
        <f t="shared" si="0"/>
        <v>0</v>
      </c>
      <c r="E17" s="415">
        <v>1</v>
      </c>
    </row>
    <row r="18" spans="1:5" x14ac:dyDescent="0.25">
      <c r="A18" s="413" t="s">
        <v>55</v>
      </c>
      <c r="B18" s="414" t="s">
        <v>21</v>
      </c>
      <c r="C18" s="407"/>
      <c r="D18" s="415">
        <f t="shared" si="0"/>
        <v>0</v>
      </c>
      <c r="E18" s="415">
        <v>1</v>
      </c>
    </row>
    <row r="19" spans="1:5" x14ac:dyDescent="0.25">
      <c r="A19" s="123"/>
      <c r="B19" s="123"/>
      <c r="C19" s="123"/>
      <c r="D19" s="123"/>
      <c r="E19" s="428"/>
    </row>
    <row r="20" spans="1:5" x14ac:dyDescent="0.25">
      <c r="A20" s="416" t="s">
        <v>411</v>
      </c>
      <c r="B20" s="408"/>
      <c r="C20" s="123"/>
      <c r="D20" s="123"/>
      <c r="E20" s="428"/>
    </row>
    <row r="21" spans="1:5" x14ac:dyDescent="0.25">
      <c r="A21" s="416" t="s">
        <v>423</v>
      </c>
      <c r="B21" s="417">
        <f>((D5*E5)+(D6*E6)+(D7*E7)+(D8*E8)+(D9*E9)+(D10*E10)+(D11*E11)+(D12*E12)+(D13*E13)+(D14*E14)+(D15*E15)+(D16*E16)+(D17*E17)+(D18*E18))</f>
        <v>0</v>
      </c>
      <c r="C21" s="123"/>
      <c r="D21" s="123"/>
      <c r="E21" s="428"/>
    </row>
    <row r="22" spans="1:5" x14ac:dyDescent="0.25">
      <c r="A22" s="416" t="s">
        <v>412</v>
      </c>
      <c r="B22" s="409"/>
      <c r="C22" s="123"/>
      <c r="D22" s="123"/>
      <c r="E22" s="428"/>
    </row>
    <row r="23" spans="1:5" x14ac:dyDescent="0.25">
      <c r="A23" s="416" t="s">
        <v>413</v>
      </c>
      <c r="B23" s="417">
        <f>IF(B22&gt;0,(B21/B22),0)</f>
        <v>0</v>
      </c>
      <c r="C23" s="123"/>
      <c r="D23" s="123"/>
      <c r="E23" s="428"/>
    </row>
    <row r="24" spans="1:5" x14ac:dyDescent="0.25">
      <c r="A24" s="416" t="s">
        <v>410</v>
      </c>
      <c r="B24" s="410"/>
      <c r="C24" s="123"/>
      <c r="D24" s="123"/>
      <c r="E24" s="123"/>
    </row>
    <row r="25" spans="1:5" x14ac:dyDescent="0.25">
      <c r="A25" s="416" t="s">
        <v>414</v>
      </c>
      <c r="B25" s="417">
        <f>(B21/2)*B24</f>
        <v>0</v>
      </c>
      <c r="C25" s="123"/>
      <c r="D25" s="123"/>
      <c r="E25" s="428"/>
    </row>
    <row r="26" spans="1:5" x14ac:dyDescent="0.25">
      <c r="A26" s="123"/>
      <c r="B26" s="123"/>
      <c r="C26" s="123"/>
      <c r="D26" s="123"/>
      <c r="E26" s="428"/>
    </row>
    <row r="27" spans="1:5" x14ac:dyDescent="0.25">
      <c r="A27" s="136" t="s">
        <v>426</v>
      </c>
      <c r="B27" s="547"/>
      <c r="C27" s="547"/>
      <c r="D27" s="123"/>
      <c r="E27" s="428"/>
    </row>
    <row r="28" spans="1:5" x14ac:dyDescent="0.25">
      <c r="A28" s="136"/>
      <c r="B28" s="123"/>
      <c r="C28" s="123"/>
      <c r="D28" s="123"/>
      <c r="E28" s="428"/>
    </row>
    <row r="29" spans="1:5" x14ac:dyDescent="0.25">
      <c r="A29" s="412" t="s">
        <v>390</v>
      </c>
      <c r="B29" s="412" t="s">
        <v>3</v>
      </c>
      <c r="C29" s="412" t="s">
        <v>391</v>
      </c>
      <c r="D29" s="412" t="s">
        <v>392</v>
      </c>
      <c r="E29" s="414" t="s">
        <v>393</v>
      </c>
    </row>
    <row r="30" spans="1:5" x14ac:dyDescent="0.25">
      <c r="A30" s="413" t="s">
        <v>394</v>
      </c>
      <c r="B30" s="414" t="s">
        <v>395</v>
      </c>
      <c r="C30" s="407"/>
      <c r="D30" s="415">
        <f t="shared" ref="D30:D43" si="1">+C30*$B$45</f>
        <v>0</v>
      </c>
      <c r="E30" s="407"/>
    </row>
    <row r="31" spans="1:5" x14ac:dyDescent="0.25">
      <c r="A31" s="413" t="s">
        <v>396</v>
      </c>
      <c r="B31" s="414" t="s">
        <v>397</v>
      </c>
      <c r="C31" s="407"/>
      <c r="D31" s="415">
        <f t="shared" si="1"/>
        <v>0</v>
      </c>
      <c r="E31" s="407"/>
    </row>
    <row r="32" spans="1:5" x14ac:dyDescent="0.25">
      <c r="A32" s="413" t="s">
        <v>398</v>
      </c>
      <c r="B32" s="414" t="s">
        <v>397</v>
      </c>
      <c r="C32" s="407"/>
      <c r="D32" s="415">
        <f t="shared" si="1"/>
        <v>0</v>
      </c>
      <c r="E32" s="407"/>
    </row>
    <row r="33" spans="1:5" x14ac:dyDescent="0.25">
      <c r="A33" s="413" t="s">
        <v>399</v>
      </c>
      <c r="B33" s="414" t="s">
        <v>397</v>
      </c>
      <c r="C33" s="407"/>
      <c r="D33" s="415">
        <f t="shared" si="1"/>
        <v>0</v>
      </c>
      <c r="E33" s="407"/>
    </row>
    <row r="34" spans="1:5" x14ac:dyDescent="0.25">
      <c r="A34" s="413" t="s">
        <v>400</v>
      </c>
      <c r="B34" s="414" t="s">
        <v>397</v>
      </c>
      <c r="C34" s="407"/>
      <c r="D34" s="415">
        <f t="shared" si="1"/>
        <v>0</v>
      </c>
      <c r="E34" s="407"/>
    </row>
    <row r="35" spans="1:5" x14ac:dyDescent="0.25">
      <c r="A35" s="413" t="s">
        <v>401</v>
      </c>
      <c r="B35" s="414" t="s">
        <v>402</v>
      </c>
      <c r="C35" s="407"/>
      <c r="D35" s="415">
        <f t="shared" si="1"/>
        <v>0</v>
      </c>
      <c r="E35" s="407"/>
    </row>
    <row r="36" spans="1:5" x14ac:dyDescent="0.25">
      <c r="A36" s="413" t="s">
        <v>403</v>
      </c>
      <c r="B36" s="414" t="s">
        <v>404</v>
      </c>
      <c r="C36" s="407"/>
      <c r="D36" s="415">
        <f t="shared" si="1"/>
        <v>0</v>
      </c>
      <c r="E36" s="407"/>
    </row>
    <row r="37" spans="1:5" x14ac:dyDescent="0.25">
      <c r="A37" s="413" t="s">
        <v>405</v>
      </c>
      <c r="B37" s="414" t="s">
        <v>406</v>
      </c>
      <c r="C37" s="407"/>
      <c r="D37" s="415">
        <f t="shared" si="1"/>
        <v>0</v>
      </c>
      <c r="E37" s="407"/>
    </row>
    <row r="38" spans="1:5" x14ac:dyDescent="0.25">
      <c r="A38" s="413" t="s">
        <v>407</v>
      </c>
      <c r="B38" s="414" t="s">
        <v>406</v>
      </c>
      <c r="C38" s="407"/>
      <c r="D38" s="415">
        <f t="shared" si="1"/>
        <v>0</v>
      </c>
      <c r="E38" s="407"/>
    </row>
    <row r="39" spans="1:5" x14ac:dyDescent="0.25">
      <c r="A39" s="413" t="s">
        <v>408</v>
      </c>
      <c r="B39" s="414" t="s">
        <v>406</v>
      </c>
      <c r="C39" s="407"/>
      <c r="D39" s="415">
        <f t="shared" si="1"/>
        <v>0</v>
      </c>
      <c r="E39" s="407"/>
    </row>
    <row r="40" spans="1:5" x14ac:dyDescent="0.25">
      <c r="A40" s="413" t="s">
        <v>409</v>
      </c>
      <c r="B40" s="414" t="s">
        <v>21</v>
      </c>
      <c r="C40" s="407"/>
      <c r="D40" s="415">
        <f t="shared" si="1"/>
        <v>0</v>
      </c>
      <c r="E40" s="415">
        <v>1</v>
      </c>
    </row>
    <row r="41" spans="1:5" x14ac:dyDescent="0.25">
      <c r="A41" s="413" t="s">
        <v>55</v>
      </c>
      <c r="B41" s="414" t="s">
        <v>21</v>
      </c>
      <c r="C41" s="407"/>
      <c r="D41" s="415">
        <f t="shared" si="1"/>
        <v>0</v>
      </c>
      <c r="E41" s="415">
        <v>1</v>
      </c>
    </row>
    <row r="42" spans="1:5" x14ac:dyDescent="0.25">
      <c r="A42" s="413" t="s">
        <v>55</v>
      </c>
      <c r="B42" s="414" t="s">
        <v>21</v>
      </c>
      <c r="C42" s="407"/>
      <c r="D42" s="415">
        <f t="shared" si="1"/>
        <v>0</v>
      </c>
      <c r="E42" s="415">
        <v>1</v>
      </c>
    </row>
    <row r="43" spans="1:5" x14ac:dyDescent="0.25">
      <c r="A43" s="413" t="s">
        <v>55</v>
      </c>
      <c r="B43" s="414" t="s">
        <v>21</v>
      </c>
      <c r="C43" s="407"/>
      <c r="D43" s="415">
        <f t="shared" si="1"/>
        <v>0</v>
      </c>
      <c r="E43" s="415">
        <v>1</v>
      </c>
    </row>
    <row r="44" spans="1:5" x14ac:dyDescent="0.25">
      <c r="A44" s="123"/>
      <c r="B44" s="123"/>
      <c r="C44" s="123"/>
      <c r="D44" s="123"/>
      <c r="E44" s="428"/>
    </row>
    <row r="45" spans="1:5" x14ac:dyDescent="0.25">
      <c r="A45" s="416" t="s">
        <v>411</v>
      </c>
      <c r="B45" s="408"/>
      <c r="C45" s="123"/>
      <c r="D45" s="123"/>
      <c r="E45" s="428"/>
    </row>
    <row r="46" spans="1:5" x14ac:dyDescent="0.25">
      <c r="A46" s="416" t="s">
        <v>424</v>
      </c>
      <c r="B46" s="417">
        <f>((D30*E30)+(D31*E31)+(D32*E32)+(D33*E33)+(D34*E34)+(D35*E35)+(D36*E36)+(D37*E37)+(D38*E38)+(D39*E39)+(D40*E40)+(D41*E41)+(D42*E42)+(D43*E43))</f>
        <v>0</v>
      </c>
      <c r="C46" s="123"/>
      <c r="D46" s="123"/>
      <c r="E46" s="428"/>
    </row>
    <row r="47" spans="1:5" x14ac:dyDescent="0.25">
      <c r="A47" s="416" t="s">
        <v>412</v>
      </c>
      <c r="B47" s="409"/>
      <c r="C47" s="123"/>
      <c r="D47" s="123"/>
      <c r="E47" s="428"/>
    </row>
    <row r="48" spans="1:5" x14ac:dyDescent="0.25">
      <c r="A48" s="416" t="s">
        <v>413</v>
      </c>
      <c r="B48" s="417">
        <f>IF(B47&gt;0,(B46/B47),0)</f>
        <v>0</v>
      </c>
      <c r="C48" s="123"/>
      <c r="D48" s="123"/>
      <c r="E48" s="428"/>
    </row>
    <row r="49" spans="1:5" x14ac:dyDescent="0.25">
      <c r="A49" s="416" t="s">
        <v>410</v>
      </c>
      <c r="B49" s="410"/>
      <c r="C49" s="123"/>
      <c r="D49" s="123"/>
      <c r="E49" s="428"/>
    </row>
    <row r="50" spans="1:5" x14ac:dyDescent="0.25">
      <c r="A50" s="416" t="s">
        <v>414</v>
      </c>
      <c r="B50" s="417">
        <f>(B46/2)*B49</f>
        <v>0</v>
      </c>
      <c r="C50" s="123"/>
      <c r="D50" s="123"/>
      <c r="E50" s="428"/>
    </row>
    <row r="51" spans="1:5" x14ac:dyDescent="0.25">
      <c r="A51" s="136"/>
      <c r="B51" s="418"/>
      <c r="C51" s="123"/>
      <c r="D51" s="123"/>
      <c r="E51" s="428"/>
    </row>
    <row r="52" spans="1:5" x14ac:dyDescent="0.25">
      <c r="A52" s="136" t="s">
        <v>427</v>
      </c>
      <c r="B52" s="547"/>
      <c r="C52" s="547"/>
      <c r="D52" s="123"/>
      <c r="E52" s="428"/>
    </row>
    <row r="53" spans="1:5" x14ac:dyDescent="0.25">
      <c r="A53" s="136"/>
      <c r="B53" s="123"/>
      <c r="C53" s="123"/>
      <c r="D53" s="123"/>
      <c r="E53" s="428"/>
    </row>
    <row r="54" spans="1:5" x14ac:dyDescent="0.25">
      <c r="A54" s="412" t="s">
        <v>390</v>
      </c>
      <c r="B54" s="412" t="s">
        <v>3</v>
      </c>
      <c r="C54" s="412" t="s">
        <v>391</v>
      </c>
      <c r="D54" s="412" t="s">
        <v>392</v>
      </c>
      <c r="E54" s="414" t="s">
        <v>393</v>
      </c>
    </row>
    <row r="55" spans="1:5" x14ac:dyDescent="0.25">
      <c r="A55" s="413" t="s">
        <v>394</v>
      </c>
      <c r="B55" s="414" t="s">
        <v>395</v>
      </c>
      <c r="C55" s="407"/>
      <c r="D55" s="415">
        <f t="shared" ref="D55:D68" si="2">+C55*$B$70</f>
        <v>0</v>
      </c>
      <c r="E55" s="407"/>
    </row>
    <row r="56" spans="1:5" x14ac:dyDescent="0.25">
      <c r="A56" s="413" t="s">
        <v>396</v>
      </c>
      <c r="B56" s="414" t="s">
        <v>397</v>
      </c>
      <c r="C56" s="407"/>
      <c r="D56" s="415">
        <f t="shared" si="2"/>
        <v>0</v>
      </c>
      <c r="E56" s="407"/>
    </row>
    <row r="57" spans="1:5" x14ac:dyDescent="0.25">
      <c r="A57" s="413" t="s">
        <v>398</v>
      </c>
      <c r="B57" s="414" t="s">
        <v>397</v>
      </c>
      <c r="C57" s="407"/>
      <c r="D57" s="415">
        <f t="shared" si="2"/>
        <v>0</v>
      </c>
      <c r="E57" s="407"/>
    </row>
    <row r="58" spans="1:5" x14ac:dyDescent="0.25">
      <c r="A58" s="413" t="s">
        <v>399</v>
      </c>
      <c r="B58" s="414" t="s">
        <v>397</v>
      </c>
      <c r="C58" s="407"/>
      <c r="D58" s="415">
        <f t="shared" si="2"/>
        <v>0</v>
      </c>
      <c r="E58" s="407"/>
    </row>
    <row r="59" spans="1:5" x14ac:dyDescent="0.25">
      <c r="A59" s="413" t="s">
        <v>400</v>
      </c>
      <c r="B59" s="414" t="s">
        <v>397</v>
      </c>
      <c r="C59" s="407"/>
      <c r="D59" s="415">
        <f t="shared" si="2"/>
        <v>0</v>
      </c>
      <c r="E59" s="407"/>
    </row>
    <row r="60" spans="1:5" x14ac:dyDescent="0.25">
      <c r="A60" s="413" t="s">
        <v>401</v>
      </c>
      <c r="B60" s="414" t="s">
        <v>402</v>
      </c>
      <c r="C60" s="407"/>
      <c r="D60" s="415">
        <f t="shared" si="2"/>
        <v>0</v>
      </c>
      <c r="E60" s="407"/>
    </row>
    <row r="61" spans="1:5" x14ac:dyDescent="0.25">
      <c r="A61" s="413" t="s">
        <v>403</v>
      </c>
      <c r="B61" s="414" t="s">
        <v>404</v>
      </c>
      <c r="C61" s="407"/>
      <c r="D61" s="415">
        <f t="shared" si="2"/>
        <v>0</v>
      </c>
      <c r="E61" s="407"/>
    </row>
    <row r="62" spans="1:5" x14ac:dyDescent="0.25">
      <c r="A62" s="413" t="s">
        <v>405</v>
      </c>
      <c r="B62" s="414" t="s">
        <v>406</v>
      </c>
      <c r="C62" s="407"/>
      <c r="D62" s="415">
        <f t="shared" si="2"/>
        <v>0</v>
      </c>
      <c r="E62" s="407"/>
    </row>
    <row r="63" spans="1:5" x14ac:dyDescent="0.25">
      <c r="A63" s="413" t="s">
        <v>407</v>
      </c>
      <c r="B63" s="414" t="s">
        <v>406</v>
      </c>
      <c r="C63" s="407"/>
      <c r="D63" s="415">
        <f t="shared" si="2"/>
        <v>0</v>
      </c>
      <c r="E63" s="407"/>
    </row>
    <row r="64" spans="1:5" x14ac:dyDescent="0.25">
      <c r="A64" s="413" t="s">
        <v>408</v>
      </c>
      <c r="B64" s="414" t="s">
        <v>406</v>
      </c>
      <c r="C64" s="407"/>
      <c r="D64" s="415">
        <f t="shared" si="2"/>
        <v>0</v>
      </c>
      <c r="E64" s="407"/>
    </row>
    <row r="65" spans="1:5" x14ac:dyDescent="0.25">
      <c r="A65" s="413" t="s">
        <v>409</v>
      </c>
      <c r="B65" s="414" t="s">
        <v>21</v>
      </c>
      <c r="C65" s="407"/>
      <c r="D65" s="415">
        <f t="shared" si="2"/>
        <v>0</v>
      </c>
      <c r="E65" s="415">
        <v>1</v>
      </c>
    </row>
    <row r="66" spans="1:5" x14ac:dyDescent="0.25">
      <c r="A66" s="413" t="s">
        <v>55</v>
      </c>
      <c r="B66" s="414" t="s">
        <v>21</v>
      </c>
      <c r="C66" s="407"/>
      <c r="D66" s="415">
        <f t="shared" si="2"/>
        <v>0</v>
      </c>
      <c r="E66" s="415">
        <v>1</v>
      </c>
    </row>
    <row r="67" spans="1:5" x14ac:dyDescent="0.25">
      <c r="A67" s="413" t="s">
        <v>55</v>
      </c>
      <c r="B67" s="414" t="s">
        <v>21</v>
      </c>
      <c r="C67" s="407"/>
      <c r="D67" s="415">
        <f t="shared" si="2"/>
        <v>0</v>
      </c>
      <c r="E67" s="415">
        <v>1</v>
      </c>
    </row>
    <row r="68" spans="1:5" x14ac:dyDescent="0.25">
      <c r="A68" s="413" t="s">
        <v>55</v>
      </c>
      <c r="B68" s="414" t="s">
        <v>21</v>
      </c>
      <c r="C68" s="407"/>
      <c r="D68" s="415">
        <f t="shared" si="2"/>
        <v>0</v>
      </c>
      <c r="E68" s="415">
        <v>1</v>
      </c>
    </row>
    <row r="69" spans="1:5" x14ac:dyDescent="0.25">
      <c r="A69" s="123"/>
      <c r="B69" s="123"/>
      <c r="C69" s="123"/>
      <c r="D69" s="123"/>
      <c r="E69" s="428"/>
    </row>
    <row r="70" spans="1:5" x14ac:dyDescent="0.25">
      <c r="A70" s="416" t="s">
        <v>415</v>
      </c>
      <c r="B70" s="411"/>
      <c r="C70" s="123"/>
      <c r="D70" s="123"/>
      <c r="E70" s="428"/>
    </row>
    <row r="71" spans="1:5" x14ac:dyDescent="0.25">
      <c r="A71" s="416" t="s">
        <v>416</v>
      </c>
      <c r="B71" s="417">
        <f>((D55*E55)+(D56*E56)+(D57*E57)+(D58*E58)+(D59*E59)+(D60*E60)+(D61*E61)+(D62*E62)+(D63*E63)+(D64*E64)+(D65*E65)+(D66*E66)+(D67*E67)+(D68*E68))</f>
        <v>0</v>
      </c>
      <c r="C71" s="123"/>
      <c r="D71" s="123"/>
      <c r="E71" s="428"/>
    </row>
    <row r="72" spans="1:5" x14ac:dyDescent="0.25">
      <c r="A72" s="416" t="s">
        <v>412</v>
      </c>
      <c r="B72" s="409"/>
      <c r="C72" s="123"/>
      <c r="D72" s="123"/>
      <c r="E72" s="428"/>
    </row>
    <row r="73" spans="1:5" x14ac:dyDescent="0.25">
      <c r="A73" s="416" t="s">
        <v>413</v>
      </c>
      <c r="B73" s="417">
        <f>IF(B72&gt;0,(B71/B72),0)</f>
        <v>0</v>
      </c>
      <c r="C73" s="123"/>
      <c r="D73" s="123"/>
      <c r="E73" s="428"/>
    </row>
    <row r="74" spans="1:5" x14ac:dyDescent="0.25">
      <c r="A74" s="416" t="s">
        <v>410</v>
      </c>
      <c r="B74" s="410"/>
      <c r="C74" s="123"/>
      <c r="D74" s="123"/>
      <c r="E74" s="428"/>
    </row>
    <row r="75" spans="1:5" x14ac:dyDescent="0.25">
      <c r="A75" s="416" t="s">
        <v>414</v>
      </c>
      <c r="B75" s="417">
        <f>(B71/2)*B74</f>
        <v>0</v>
      </c>
      <c r="C75" s="123"/>
      <c r="D75" s="123"/>
      <c r="E75" s="428"/>
    </row>
    <row r="76" spans="1:5" x14ac:dyDescent="0.25">
      <c r="A76" s="123"/>
      <c r="B76" s="123"/>
      <c r="C76" s="123"/>
      <c r="D76" s="123"/>
      <c r="E76" s="428"/>
    </row>
    <row r="77" spans="1:5" x14ac:dyDescent="0.25">
      <c r="A77" s="136" t="s">
        <v>428</v>
      </c>
      <c r="B77" s="547"/>
      <c r="C77" s="547"/>
      <c r="D77" s="123"/>
      <c r="E77" s="428"/>
    </row>
    <row r="78" spans="1:5" x14ac:dyDescent="0.25">
      <c r="A78" s="136"/>
      <c r="B78" s="123"/>
      <c r="C78" s="123"/>
      <c r="D78" s="123"/>
      <c r="E78" s="428"/>
    </row>
    <row r="79" spans="1:5" x14ac:dyDescent="0.25">
      <c r="A79" s="412" t="s">
        <v>390</v>
      </c>
      <c r="B79" s="412" t="s">
        <v>3</v>
      </c>
      <c r="C79" s="412" t="s">
        <v>391</v>
      </c>
      <c r="D79" s="412" t="s">
        <v>392</v>
      </c>
      <c r="E79" s="414" t="s">
        <v>393</v>
      </c>
    </row>
    <row r="80" spans="1:5" x14ac:dyDescent="0.25">
      <c r="A80" s="413" t="s">
        <v>394</v>
      </c>
      <c r="B80" s="414" t="s">
        <v>395</v>
      </c>
      <c r="C80" s="407"/>
      <c r="D80" s="415">
        <f t="shared" ref="D80:D93" si="3">+C80*$B$95</f>
        <v>0</v>
      </c>
      <c r="E80" s="407"/>
    </row>
    <row r="81" spans="1:5" x14ac:dyDescent="0.25">
      <c r="A81" s="413" t="s">
        <v>396</v>
      </c>
      <c r="B81" s="414" t="s">
        <v>397</v>
      </c>
      <c r="C81" s="407"/>
      <c r="D81" s="415">
        <f t="shared" si="3"/>
        <v>0</v>
      </c>
      <c r="E81" s="407"/>
    </row>
    <row r="82" spans="1:5" x14ac:dyDescent="0.25">
      <c r="A82" s="413" t="s">
        <v>398</v>
      </c>
      <c r="B82" s="414" t="s">
        <v>397</v>
      </c>
      <c r="C82" s="407"/>
      <c r="D82" s="415">
        <f t="shared" si="3"/>
        <v>0</v>
      </c>
      <c r="E82" s="407"/>
    </row>
    <row r="83" spans="1:5" x14ac:dyDescent="0.25">
      <c r="A83" s="413" t="s">
        <v>399</v>
      </c>
      <c r="B83" s="414" t="s">
        <v>397</v>
      </c>
      <c r="C83" s="407"/>
      <c r="D83" s="415">
        <f t="shared" si="3"/>
        <v>0</v>
      </c>
      <c r="E83" s="407"/>
    </row>
    <row r="84" spans="1:5" x14ac:dyDescent="0.25">
      <c r="A84" s="413" t="s">
        <v>400</v>
      </c>
      <c r="B84" s="414" t="s">
        <v>397</v>
      </c>
      <c r="C84" s="407"/>
      <c r="D84" s="415">
        <f t="shared" si="3"/>
        <v>0</v>
      </c>
      <c r="E84" s="407"/>
    </row>
    <row r="85" spans="1:5" x14ac:dyDescent="0.25">
      <c r="A85" s="413" t="s">
        <v>401</v>
      </c>
      <c r="B85" s="414" t="s">
        <v>402</v>
      </c>
      <c r="C85" s="407"/>
      <c r="D85" s="415">
        <f t="shared" si="3"/>
        <v>0</v>
      </c>
      <c r="E85" s="407"/>
    </row>
    <row r="86" spans="1:5" x14ac:dyDescent="0.25">
      <c r="A86" s="413" t="s">
        <v>403</v>
      </c>
      <c r="B86" s="414" t="s">
        <v>404</v>
      </c>
      <c r="C86" s="407"/>
      <c r="D86" s="415">
        <f t="shared" si="3"/>
        <v>0</v>
      </c>
      <c r="E86" s="407"/>
    </row>
    <row r="87" spans="1:5" x14ac:dyDescent="0.25">
      <c r="A87" s="413" t="s">
        <v>405</v>
      </c>
      <c r="B87" s="414" t="s">
        <v>406</v>
      </c>
      <c r="C87" s="407"/>
      <c r="D87" s="415">
        <f t="shared" si="3"/>
        <v>0</v>
      </c>
      <c r="E87" s="407"/>
    </row>
    <row r="88" spans="1:5" x14ac:dyDescent="0.25">
      <c r="A88" s="413" t="s">
        <v>407</v>
      </c>
      <c r="B88" s="414" t="s">
        <v>406</v>
      </c>
      <c r="C88" s="407"/>
      <c r="D88" s="415">
        <f t="shared" si="3"/>
        <v>0</v>
      </c>
      <c r="E88" s="407"/>
    </row>
    <row r="89" spans="1:5" x14ac:dyDescent="0.25">
      <c r="A89" s="413" t="s">
        <v>408</v>
      </c>
      <c r="B89" s="414" t="s">
        <v>406</v>
      </c>
      <c r="C89" s="407"/>
      <c r="D89" s="415">
        <f t="shared" si="3"/>
        <v>0</v>
      </c>
      <c r="E89" s="407"/>
    </row>
    <row r="90" spans="1:5" x14ac:dyDescent="0.25">
      <c r="A90" s="413" t="s">
        <v>409</v>
      </c>
      <c r="B90" s="414" t="s">
        <v>21</v>
      </c>
      <c r="C90" s="407"/>
      <c r="D90" s="415">
        <f t="shared" si="3"/>
        <v>0</v>
      </c>
      <c r="E90" s="415">
        <v>1</v>
      </c>
    </row>
    <row r="91" spans="1:5" x14ac:dyDescent="0.25">
      <c r="A91" s="413" t="s">
        <v>55</v>
      </c>
      <c r="B91" s="414" t="s">
        <v>21</v>
      </c>
      <c r="C91" s="407"/>
      <c r="D91" s="415">
        <f t="shared" si="3"/>
        <v>0</v>
      </c>
      <c r="E91" s="415">
        <v>1</v>
      </c>
    </row>
    <row r="92" spans="1:5" x14ac:dyDescent="0.25">
      <c r="A92" s="413" t="s">
        <v>55</v>
      </c>
      <c r="B92" s="414" t="s">
        <v>21</v>
      </c>
      <c r="C92" s="407"/>
      <c r="D92" s="415">
        <f t="shared" si="3"/>
        <v>0</v>
      </c>
      <c r="E92" s="415">
        <v>1</v>
      </c>
    </row>
    <row r="93" spans="1:5" x14ac:dyDescent="0.25">
      <c r="A93" s="413" t="s">
        <v>55</v>
      </c>
      <c r="B93" s="414" t="s">
        <v>21</v>
      </c>
      <c r="C93" s="407"/>
      <c r="D93" s="415">
        <f t="shared" si="3"/>
        <v>0</v>
      </c>
      <c r="E93" s="415">
        <v>1</v>
      </c>
    </row>
    <row r="94" spans="1:5" x14ac:dyDescent="0.25">
      <c r="A94" s="123"/>
      <c r="B94" s="123"/>
      <c r="C94" s="123"/>
      <c r="D94" s="123"/>
      <c r="E94" s="428"/>
    </row>
    <row r="95" spans="1:5" x14ac:dyDescent="0.25">
      <c r="A95" s="416" t="s">
        <v>417</v>
      </c>
      <c r="B95" s="408"/>
      <c r="C95" s="123"/>
      <c r="D95" s="123"/>
      <c r="E95" s="428"/>
    </row>
    <row r="96" spans="1:5" x14ac:dyDescent="0.25">
      <c r="A96" s="416" t="s">
        <v>418</v>
      </c>
      <c r="B96" s="417">
        <f>((D80*E80)+(D81*E81)+(D82*E82)+(D83*E83)+(D84*E84)+(D85*E85)+(D86*E86)+(D87*E87)+(D88*E88)+(D89*E89)+(D90*E90)+(D91*E91)+(D92*E92)+(D93*E93))</f>
        <v>0</v>
      </c>
      <c r="C96" s="123"/>
      <c r="D96" s="123"/>
      <c r="E96" s="428"/>
    </row>
    <row r="97" spans="1:5" x14ac:dyDescent="0.25">
      <c r="A97" s="416" t="s">
        <v>412</v>
      </c>
      <c r="B97" s="409"/>
      <c r="C97" s="123"/>
      <c r="D97" s="123"/>
      <c r="E97" s="428"/>
    </row>
    <row r="98" spans="1:5" x14ac:dyDescent="0.25">
      <c r="A98" s="416" t="s">
        <v>413</v>
      </c>
      <c r="B98" s="417">
        <f>IF(B97&gt;0,(B96/B97),0)</f>
        <v>0</v>
      </c>
      <c r="C98" s="123"/>
      <c r="D98" s="123"/>
      <c r="E98" s="428"/>
    </row>
    <row r="99" spans="1:5" x14ac:dyDescent="0.25">
      <c r="A99" s="416" t="s">
        <v>410</v>
      </c>
      <c r="B99" s="410"/>
      <c r="C99" s="123"/>
      <c r="D99" s="123"/>
      <c r="E99" s="428"/>
    </row>
    <row r="100" spans="1:5" x14ac:dyDescent="0.25">
      <c r="A100" s="416" t="s">
        <v>414</v>
      </c>
      <c r="B100" s="417">
        <f>(B96/2)*B99</f>
        <v>0</v>
      </c>
      <c r="C100" s="123"/>
      <c r="D100" s="123"/>
      <c r="E100" s="428"/>
    </row>
    <row r="101" spans="1:5" x14ac:dyDescent="0.25">
      <c r="A101" s="123"/>
      <c r="B101" s="123"/>
      <c r="C101" s="123"/>
      <c r="D101" s="123"/>
      <c r="E101" s="428"/>
    </row>
    <row r="102" spans="1:5" x14ac:dyDescent="0.25">
      <c r="A102" s="136" t="s">
        <v>429</v>
      </c>
      <c r="B102" s="547"/>
      <c r="C102" s="547"/>
      <c r="D102" s="123"/>
      <c r="E102" s="428"/>
    </row>
    <row r="103" spans="1:5" x14ac:dyDescent="0.25">
      <c r="A103" s="136"/>
      <c r="B103" s="123"/>
      <c r="C103" s="123"/>
      <c r="D103" s="123"/>
      <c r="E103" s="428"/>
    </row>
    <row r="104" spans="1:5" x14ac:dyDescent="0.25">
      <c r="A104" s="412" t="s">
        <v>390</v>
      </c>
      <c r="B104" s="412" t="s">
        <v>3</v>
      </c>
      <c r="C104" s="412" t="s">
        <v>391</v>
      </c>
      <c r="D104" s="412" t="s">
        <v>392</v>
      </c>
      <c r="E104" s="414" t="s">
        <v>393</v>
      </c>
    </row>
    <row r="105" spans="1:5" x14ac:dyDescent="0.25">
      <c r="A105" s="413" t="s">
        <v>394</v>
      </c>
      <c r="B105" s="414" t="s">
        <v>395</v>
      </c>
      <c r="C105" s="407"/>
      <c r="D105" s="415">
        <f t="shared" ref="D105:D118" si="4">+C105*$B$95</f>
        <v>0</v>
      </c>
      <c r="E105" s="407"/>
    </row>
    <row r="106" spans="1:5" x14ac:dyDescent="0.25">
      <c r="A106" s="413" t="s">
        <v>396</v>
      </c>
      <c r="B106" s="414" t="s">
        <v>397</v>
      </c>
      <c r="C106" s="407"/>
      <c r="D106" s="415">
        <f t="shared" si="4"/>
        <v>0</v>
      </c>
      <c r="E106" s="407"/>
    </row>
    <row r="107" spans="1:5" x14ac:dyDescent="0.25">
      <c r="A107" s="413" t="s">
        <v>398</v>
      </c>
      <c r="B107" s="414" t="s">
        <v>397</v>
      </c>
      <c r="C107" s="407"/>
      <c r="D107" s="415">
        <f t="shared" si="4"/>
        <v>0</v>
      </c>
      <c r="E107" s="407"/>
    </row>
    <row r="108" spans="1:5" x14ac:dyDescent="0.25">
      <c r="A108" s="413" t="s">
        <v>399</v>
      </c>
      <c r="B108" s="414" t="s">
        <v>397</v>
      </c>
      <c r="C108" s="407"/>
      <c r="D108" s="415">
        <f t="shared" si="4"/>
        <v>0</v>
      </c>
      <c r="E108" s="407"/>
    </row>
    <row r="109" spans="1:5" x14ac:dyDescent="0.25">
      <c r="A109" s="413" t="s">
        <v>400</v>
      </c>
      <c r="B109" s="414" t="s">
        <v>397</v>
      </c>
      <c r="C109" s="407"/>
      <c r="D109" s="415">
        <f t="shared" si="4"/>
        <v>0</v>
      </c>
      <c r="E109" s="407"/>
    </row>
    <row r="110" spans="1:5" x14ac:dyDescent="0.25">
      <c r="A110" s="413" t="s">
        <v>401</v>
      </c>
      <c r="B110" s="414" t="s">
        <v>402</v>
      </c>
      <c r="C110" s="407"/>
      <c r="D110" s="415">
        <f t="shared" si="4"/>
        <v>0</v>
      </c>
      <c r="E110" s="407"/>
    </row>
    <row r="111" spans="1:5" x14ac:dyDescent="0.25">
      <c r="A111" s="413" t="s">
        <v>403</v>
      </c>
      <c r="B111" s="414" t="s">
        <v>404</v>
      </c>
      <c r="C111" s="407"/>
      <c r="D111" s="415">
        <f t="shared" si="4"/>
        <v>0</v>
      </c>
      <c r="E111" s="407"/>
    </row>
    <row r="112" spans="1:5" x14ac:dyDescent="0.25">
      <c r="A112" s="413" t="s">
        <v>405</v>
      </c>
      <c r="B112" s="414" t="s">
        <v>406</v>
      </c>
      <c r="C112" s="407"/>
      <c r="D112" s="415">
        <f t="shared" si="4"/>
        <v>0</v>
      </c>
      <c r="E112" s="407"/>
    </row>
    <row r="113" spans="1:5" x14ac:dyDescent="0.25">
      <c r="A113" s="413" t="s">
        <v>407</v>
      </c>
      <c r="B113" s="414" t="s">
        <v>406</v>
      </c>
      <c r="C113" s="407"/>
      <c r="D113" s="415">
        <f t="shared" si="4"/>
        <v>0</v>
      </c>
      <c r="E113" s="407"/>
    </row>
    <row r="114" spans="1:5" x14ac:dyDescent="0.25">
      <c r="A114" s="413" t="s">
        <v>408</v>
      </c>
      <c r="B114" s="414" t="s">
        <v>406</v>
      </c>
      <c r="C114" s="407"/>
      <c r="D114" s="415">
        <f t="shared" si="4"/>
        <v>0</v>
      </c>
      <c r="E114" s="407"/>
    </row>
    <row r="115" spans="1:5" x14ac:dyDescent="0.25">
      <c r="A115" s="413" t="s">
        <v>409</v>
      </c>
      <c r="B115" s="414" t="s">
        <v>21</v>
      </c>
      <c r="C115" s="407"/>
      <c r="D115" s="415">
        <f t="shared" si="4"/>
        <v>0</v>
      </c>
      <c r="E115" s="415">
        <v>1</v>
      </c>
    </row>
    <row r="116" spans="1:5" x14ac:dyDescent="0.25">
      <c r="A116" s="413" t="s">
        <v>55</v>
      </c>
      <c r="B116" s="414" t="s">
        <v>21</v>
      </c>
      <c r="C116" s="407"/>
      <c r="D116" s="415">
        <f t="shared" si="4"/>
        <v>0</v>
      </c>
      <c r="E116" s="415">
        <v>1</v>
      </c>
    </row>
    <row r="117" spans="1:5" x14ac:dyDescent="0.25">
      <c r="A117" s="413" t="s">
        <v>55</v>
      </c>
      <c r="B117" s="414" t="s">
        <v>21</v>
      </c>
      <c r="C117" s="407"/>
      <c r="D117" s="415">
        <f t="shared" si="4"/>
        <v>0</v>
      </c>
      <c r="E117" s="415">
        <v>1</v>
      </c>
    </row>
    <row r="118" spans="1:5" x14ac:dyDescent="0.25">
      <c r="A118" s="413" t="s">
        <v>55</v>
      </c>
      <c r="B118" s="414" t="s">
        <v>21</v>
      </c>
      <c r="C118" s="407"/>
      <c r="D118" s="415">
        <f t="shared" si="4"/>
        <v>0</v>
      </c>
      <c r="E118" s="415">
        <v>1</v>
      </c>
    </row>
    <row r="119" spans="1:5" x14ac:dyDescent="0.25">
      <c r="A119" s="123"/>
      <c r="B119" s="123"/>
      <c r="C119" s="123"/>
      <c r="D119" s="123"/>
      <c r="E119" s="428"/>
    </row>
    <row r="120" spans="1:5" x14ac:dyDescent="0.25">
      <c r="A120" s="416" t="s">
        <v>419</v>
      </c>
      <c r="B120" s="408"/>
      <c r="C120" s="123"/>
      <c r="D120" s="123"/>
      <c r="E120" s="428"/>
    </row>
    <row r="121" spans="1:5" x14ac:dyDescent="0.25">
      <c r="A121" s="416" t="s">
        <v>420</v>
      </c>
      <c r="B121" s="417">
        <f>((D105*E105)+(D106*E106)+(D107*E107)+(D108*E108)+(D109*E109)+(D110*E110)+(D111*E111)+(D112*E112)+(D113*E113)+(D114*E114)+(D115*E115)+(D116*E116)+(D117*E117)+(D118*E118))</f>
        <v>0</v>
      </c>
      <c r="C121" s="123"/>
      <c r="D121" s="123"/>
      <c r="E121" s="428"/>
    </row>
    <row r="122" spans="1:5" x14ac:dyDescent="0.25">
      <c r="A122" s="416" t="s">
        <v>412</v>
      </c>
      <c r="B122" s="409"/>
      <c r="C122" s="123"/>
      <c r="D122" s="123"/>
      <c r="E122" s="428"/>
    </row>
    <row r="123" spans="1:5" x14ac:dyDescent="0.25">
      <c r="A123" s="416" t="s">
        <v>413</v>
      </c>
      <c r="B123" s="417">
        <f>IF(B122&gt;0,(B121/B122),0)</f>
        <v>0</v>
      </c>
      <c r="C123" s="123"/>
      <c r="D123" s="123"/>
      <c r="E123" s="428"/>
    </row>
    <row r="124" spans="1:5" x14ac:dyDescent="0.25">
      <c r="A124" s="416" t="s">
        <v>410</v>
      </c>
      <c r="B124" s="410"/>
      <c r="C124" s="123"/>
      <c r="D124" s="123"/>
      <c r="E124" s="428"/>
    </row>
    <row r="125" spans="1:5" x14ac:dyDescent="0.25">
      <c r="A125" s="416" t="s">
        <v>414</v>
      </c>
      <c r="B125" s="417">
        <f>(B121/2)*B124</f>
        <v>0</v>
      </c>
      <c r="C125" s="123"/>
      <c r="D125" s="123"/>
      <c r="E125" s="428"/>
    </row>
    <row r="126" spans="1:5" x14ac:dyDescent="0.25">
      <c r="A126" s="123"/>
      <c r="B126" s="123"/>
      <c r="C126" s="123"/>
      <c r="D126" s="123"/>
      <c r="E126" s="428"/>
    </row>
    <row r="127" spans="1:5" x14ac:dyDescent="0.25">
      <c r="A127" s="136" t="s">
        <v>430</v>
      </c>
      <c r="B127" s="547"/>
      <c r="C127" s="547"/>
      <c r="D127" s="123"/>
      <c r="E127" s="428"/>
    </row>
    <row r="128" spans="1:5" x14ac:dyDescent="0.25">
      <c r="A128" s="136"/>
      <c r="B128" s="123"/>
      <c r="C128" s="123"/>
      <c r="D128" s="123"/>
      <c r="E128" s="428"/>
    </row>
    <row r="129" spans="1:5" x14ac:dyDescent="0.25">
      <c r="A129" s="412" t="s">
        <v>390</v>
      </c>
      <c r="B129" s="412" t="s">
        <v>3</v>
      </c>
      <c r="C129" s="412" t="s">
        <v>391</v>
      </c>
      <c r="D129" s="412" t="s">
        <v>392</v>
      </c>
      <c r="E129" s="414" t="s">
        <v>393</v>
      </c>
    </row>
    <row r="130" spans="1:5" x14ac:dyDescent="0.25">
      <c r="A130" s="413" t="s">
        <v>394</v>
      </c>
      <c r="B130" s="414" t="s">
        <v>395</v>
      </c>
      <c r="C130" s="407"/>
      <c r="D130" s="415">
        <f t="shared" ref="D130:D143" si="5">+C130*$B$95</f>
        <v>0</v>
      </c>
      <c r="E130" s="407"/>
    </row>
    <row r="131" spans="1:5" x14ac:dyDescent="0.25">
      <c r="A131" s="413" t="s">
        <v>396</v>
      </c>
      <c r="B131" s="414" t="s">
        <v>397</v>
      </c>
      <c r="C131" s="407"/>
      <c r="D131" s="415">
        <f t="shared" si="5"/>
        <v>0</v>
      </c>
      <c r="E131" s="407"/>
    </row>
    <row r="132" spans="1:5" x14ac:dyDescent="0.25">
      <c r="A132" s="413" t="s">
        <v>398</v>
      </c>
      <c r="B132" s="414" t="s">
        <v>397</v>
      </c>
      <c r="C132" s="407"/>
      <c r="D132" s="415">
        <f t="shared" si="5"/>
        <v>0</v>
      </c>
      <c r="E132" s="407"/>
    </row>
    <row r="133" spans="1:5" x14ac:dyDescent="0.25">
      <c r="A133" s="413" t="s">
        <v>399</v>
      </c>
      <c r="B133" s="414" t="s">
        <v>397</v>
      </c>
      <c r="C133" s="407"/>
      <c r="D133" s="415">
        <f t="shared" si="5"/>
        <v>0</v>
      </c>
      <c r="E133" s="407"/>
    </row>
    <row r="134" spans="1:5" x14ac:dyDescent="0.25">
      <c r="A134" s="413" t="s">
        <v>400</v>
      </c>
      <c r="B134" s="414" t="s">
        <v>397</v>
      </c>
      <c r="C134" s="407"/>
      <c r="D134" s="415">
        <f t="shared" si="5"/>
        <v>0</v>
      </c>
      <c r="E134" s="407"/>
    </row>
    <row r="135" spans="1:5" x14ac:dyDescent="0.25">
      <c r="A135" s="413" t="s">
        <v>401</v>
      </c>
      <c r="B135" s="414" t="s">
        <v>402</v>
      </c>
      <c r="C135" s="407"/>
      <c r="D135" s="415">
        <f t="shared" si="5"/>
        <v>0</v>
      </c>
      <c r="E135" s="407"/>
    </row>
    <row r="136" spans="1:5" x14ac:dyDescent="0.25">
      <c r="A136" s="413" t="s">
        <v>403</v>
      </c>
      <c r="B136" s="414" t="s">
        <v>404</v>
      </c>
      <c r="C136" s="407"/>
      <c r="D136" s="415">
        <f t="shared" si="5"/>
        <v>0</v>
      </c>
      <c r="E136" s="407"/>
    </row>
    <row r="137" spans="1:5" x14ac:dyDescent="0.25">
      <c r="A137" s="413" t="s">
        <v>405</v>
      </c>
      <c r="B137" s="414" t="s">
        <v>406</v>
      </c>
      <c r="C137" s="407"/>
      <c r="D137" s="415">
        <f t="shared" si="5"/>
        <v>0</v>
      </c>
      <c r="E137" s="407"/>
    </row>
    <row r="138" spans="1:5" x14ac:dyDescent="0.25">
      <c r="A138" s="413" t="s">
        <v>407</v>
      </c>
      <c r="B138" s="414" t="s">
        <v>406</v>
      </c>
      <c r="C138" s="407"/>
      <c r="D138" s="415">
        <f t="shared" si="5"/>
        <v>0</v>
      </c>
      <c r="E138" s="407"/>
    </row>
    <row r="139" spans="1:5" x14ac:dyDescent="0.25">
      <c r="A139" s="413" t="s">
        <v>408</v>
      </c>
      <c r="B139" s="414" t="s">
        <v>406</v>
      </c>
      <c r="C139" s="407"/>
      <c r="D139" s="415">
        <f t="shared" si="5"/>
        <v>0</v>
      </c>
      <c r="E139" s="407"/>
    </row>
    <row r="140" spans="1:5" x14ac:dyDescent="0.25">
      <c r="A140" s="413" t="s">
        <v>409</v>
      </c>
      <c r="B140" s="414" t="s">
        <v>21</v>
      </c>
      <c r="C140" s="407"/>
      <c r="D140" s="415">
        <f t="shared" si="5"/>
        <v>0</v>
      </c>
      <c r="E140" s="415">
        <v>1</v>
      </c>
    </row>
    <row r="141" spans="1:5" x14ac:dyDescent="0.25">
      <c r="A141" s="413" t="s">
        <v>55</v>
      </c>
      <c r="B141" s="414" t="s">
        <v>21</v>
      </c>
      <c r="C141" s="407"/>
      <c r="D141" s="415">
        <f t="shared" si="5"/>
        <v>0</v>
      </c>
      <c r="E141" s="415">
        <v>1</v>
      </c>
    </row>
    <row r="142" spans="1:5" x14ac:dyDescent="0.25">
      <c r="A142" s="413" t="s">
        <v>55</v>
      </c>
      <c r="B142" s="414" t="s">
        <v>21</v>
      </c>
      <c r="C142" s="407"/>
      <c r="D142" s="415">
        <f t="shared" si="5"/>
        <v>0</v>
      </c>
      <c r="E142" s="415">
        <v>1</v>
      </c>
    </row>
    <row r="143" spans="1:5" x14ac:dyDescent="0.25">
      <c r="A143" s="413" t="s">
        <v>55</v>
      </c>
      <c r="B143" s="414" t="s">
        <v>21</v>
      </c>
      <c r="C143" s="407"/>
      <c r="D143" s="415">
        <f t="shared" si="5"/>
        <v>0</v>
      </c>
      <c r="E143" s="415">
        <v>1</v>
      </c>
    </row>
    <row r="144" spans="1:5" x14ac:dyDescent="0.25">
      <c r="A144" s="123"/>
      <c r="B144" s="123"/>
      <c r="C144" s="123"/>
      <c r="D144" s="123"/>
      <c r="E144" s="428"/>
    </row>
    <row r="145" spans="1:5" x14ac:dyDescent="0.25">
      <c r="A145" s="416" t="s">
        <v>421</v>
      </c>
      <c r="B145" s="408"/>
      <c r="C145" s="123"/>
      <c r="D145" s="123"/>
      <c r="E145" s="428"/>
    </row>
    <row r="146" spans="1:5" x14ac:dyDescent="0.25">
      <c r="A146" s="416" t="s">
        <v>422</v>
      </c>
      <c r="B146" s="417">
        <f>((D130*E130)+(D131*E131)+(D132*E132)+(D133*E133)+(D134*E134)+(D135*E135)+(D136*E136)+(D137*E137)+(D138*E138)+(D139*E139)+(D140*E140)+(D141*E141)+(D142*E142)+(D143*E143))</f>
        <v>0</v>
      </c>
      <c r="C146" s="123"/>
      <c r="D146" s="123"/>
      <c r="E146" s="428"/>
    </row>
    <row r="147" spans="1:5" x14ac:dyDescent="0.25">
      <c r="A147" s="416" t="s">
        <v>412</v>
      </c>
      <c r="B147" s="409"/>
      <c r="C147" s="123"/>
      <c r="D147" s="123"/>
      <c r="E147" s="428"/>
    </row>
    <row r="148" spans="1:5" x14ac:dyDescent="0.25">
      <c r="A148" s="416" t="s">
        <v>413</v>
      </c>
      <c r="B148" s="417">
        <f>IF(B147&gt;0,(B146/B147),0)</f>
        <v>0</v>
      </c>
      <c r="C148" s="123"/>
      <c r="D148" s="123"/>
      <c r="E148" s="428"/>
    </row>
    <row r="149" spans="1:5" x14ac:dyDescent="0.25">
      <c r="A149" s="416" t="s">
        <v>410</v>
      </c>
      <c r="B149" s="410"/>
      <c r="C149" s="123"/>
      <c r="D149" s="123"/>
      <c r="E149" s="428"/>
    </row>
    <row r="150" spans="1:5" x14ac:dyDescent="0.25">
      <c r="A150" s="416" t="s">
        <v>414</v>
      </c>
      <c r="B150" s="417">
        <f>(B146/2)*B149</f>
        <v>0</v>
      </c>
      <c r="C150" s="123"/>
      <c r="D150" s="123"/>
      <c r="E150" s="428"/>
    </row>
  </sheetData>
  <sheetProtection algorithmName="SHA-512" hashValue="KO5aUfyo2XcAB51mkwPKcvBE8iBluo6bytkBMrM8P44W6NeHl76R2NgWp/eIJyTzJiBCEljXg6t6OQ60oPnlSA==" saltValue="Eqpv9aNk20JrFCLAh78iuA==" spinCount="100000" sheet="1" objects="1" scenarios="1"/>
  <mergeCells count="6">
    <mergeCell ref="B127:C127"/>
    <mergeCell ref="B2:C2"/>
    <mergeCell ref="B27:C27"/>
    <mergeCell ref="B52:C52"/>
    <mergeCell ref="B77:C77"/>
    <mergeCell ref="B102:C10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561975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Limpa_custo_implantação_forrageiras">
                <anchor moveWithCells="1" sizeWithCells="1">
                  <from>
                    <xdr:col>0</xdr:col>
                    <xdr:colOff>581025</xdr:colOff>
                    <xdr:row>0</xdr:row>
                    <xdr:rowOff>19050</xdr:rowOff>
                  </from>
                  <to>
                    <xdr:col>0</xdr:col>
                    <xdr:colOff>1123950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O17"/>
  <sheetViews>
    <sheetView workbookViewId="0">
      <selection activeCell="O15" sqref="O15"/>
    </sheetView>
  </sheetViews>
  <sheetFormatPr defaultColWidth="9.140625" defaultRowHeight="15" x14ac:dyDescent="0.25"/>
  <cols>
    <col min="1" max="1" width="11.140625" style="1" customWidth="1"/>
    <col min="2" max="2" width="12.140625" style="1" bestFit="1" customWidth="1"/>
    <col min="3" max="3" width="10.85546875" style="1" bestFit="1" customWidth="1"/>
    <col min="4" max="4" width="12" style="1" bestFit="1" customWidth="1"/>
    <col min="5" max="5" width="17.5703125" style="1" bestFit="1" customWidth="1"/>
    <col min="6" max="6" width="10.42578125" style="1" customWidth="1"/>
    <col min="7" max="13" width="9.140625" style="1" customWidth="1"/>
    <col min="14" max="16384" width="9.140625" style="1"/>
  </cols>
  <sheetData>
    <row r="1" spans="1:15" ht="23.25" customHeight="1" x14ac:dyDescent="0.25">
      <c r="A1" s="549" t="s">
        <v>476</v>
      </c>
      <c r="B1" s="549"/>
      <c r="C1" s="549"/>
      <c r="D1" s="549"/>
      <c r="E1" s="548" t="s">
        <v>51</v>
      </c>
      <c r="F1" s="548"/>
      <c r="G1" s="548"/>
      <c r="H1" s="548"/>
      <c r="I1" s="548"/>
      <c r="J1" s="548"/>
      <c r="K1" s="548"/>
      <c r="L1" s="548"/>
    </row>
    <row r="2" spans="1:15" ht="23.25" customHeight="1" x14ac:dyDescent="0.25">
      <c r="A2" s="549"/>
      <c r="B2" s="549"/>
      <c r="C2" s="549"/>
      <c r="D2" s="549"/>
      <c r="E2" s="419" t="s">
        <v>30</v>
      </c>
      <c r="F2" s="420">
        <v>3</v>
      </c>
      <c r="G2" s="420">
        <v>2.9</v>
      </c>
      <c r="H2" s="421" t="s">
        <v>31</v>
      </c>
      <c r="I2" s="422"/>
      <c r="J2" s="422">
        <v>8.4</v>
      </c>
      <c r="K2" s="419">
        <v>0</v>
      </c>
      <c r="L2" s="419">
        <v>0</v>
      </c>
    </row>
    <row r="3" spans="1:15" ht="23.25" customHeight="1" x14ac:dyDescent="0.35">
      <c r="A3" s="32"/>
      <c r="B3" s="32"/>
      <c r="E3" s="419" t="s">
        <v>32</v>
      </c>
      <c r="F3" s="420">
        <v>4.9000000000000004</v>
      </c>
      <c r="G3" s="420">
        <v>4</v>
      </c>
      <c r="H3" s="421" t="s">
        <v>31</v>
      </c>
      <c r="I3" s="422" t="s">
        <v>31</v>
      </c>
      <c r="J3" s="419" t="s">
        <v>31</v>
      </c>
      <c r="K3" s="423">
        <v>600000</v>
      </c>
      <c r="L3" s="423">
        <v>600000</v>
      </c>
    </row>
    <row r="5" spans="1:15" x14ac:dyDescent="0.25">
      <c r="A5" s="424" t="s">
        <v>40</v>
      </c>
      <c r="B5" s="425" t="s">
        <v>48</v>
      </c>
      <c r="C5" s="425" t="s">
        <v>52</v>
      </c>
      <c r="D5" s="425" t="s">
        <v>49</v>
      </c>
      <c r="E5" s="425" t="s">
        <v>50</v>
      </c>
      <c r="F5" s="426" t="s">
        <v>33</v>
      </c>
      <c r="G5" s="426" t="s">
        <v>34</v>
      </c>
      <c r="H5" s="426" t="s">
        <v>35</v>
      </c>
      <c r="I5" s="426" t="s">
        <v>36</v>
      </c>
      <c r="J5" s="426" t="s">
        <v>37</v>
      </c>
      <c r="K5" s="426" t="s">
        <v>38</v>
      </c>
      <c r="L5" s="427" t="s">
        <v>39</v>
      </c>
    </row>
    <row r="6" spans="1:15" x14ac:dyDescent="0.25">
      <c r="A6" s="36" t="s">
        <v>6</v>
      </c>
      <c r="B6" s="309"/>
      <c r="C6" s="309"/>
      <c r="D6" s="309"/>
      <c r="E6" s="309"/>
      <c r="F6" s="309"/>
      <c r="G6" s="309"/>
      <c r="H6" s="309"/>
      <c r="I6" s="309"/>
      <c r="J6" s="309"/>
      <c r="K6" s="309"/>
      <c r="L6" s="327"/>
      <c r="M6" s="4"/>
    </row>
    <row r="7" spans="1:15" x14ac:dyDescent="0.25">
      <c r="A7" s="36" t="s">
        <v>7</v>
      </c>
      <c r="B7" s="309"/>
      <c r="C7" s="309"/>
      <c r="D7" s="309"/>
      <c r="E7" s="309"/>
      <c r="F7" s="309"/>
      <c r="G7" s="309"/>
      <c r="H7" s="309"/>
      <c r="I7" s="309"/>
      <c r="J7" s="309"/>
      <c r="K7" s="309"/>
      <c r="L7" s="327"/>
      <c r="M7" s="33"/>
      <c r="O7" s="34"/>
    </row>
    <row r="8" spans="1:15" x14ac:dyDescent="0.25">
      <c r="A8" s="36" t="s">
        <v>8</v>
      </c>
      <c r="B8" s="309"/>
      <c r="C8" s="309"/>
      <c r="D8" s="309"/>
      <c r="E8" s="309"/>
      <c r="F8" s="309"/>
      <c r="G8" s="309"/>
      <c r="H8" s="309"/>
      <c r="I8" s="309"/>
      <c r="J8" s="309"/>
      <c r="K8" s="309"/>
      <c r="L8" s="327"/>
    </row>
    <row r="9" spans="1:15" x14ac:dyDescent="0.25">
      <c r="A9" s="36" t="s">
        <v>41</v>
      </c>
      <c r="B9" s="309"/>
      <c r="C9" s="309"/>
      <c r="D9" s="309"/>
      <c r="E9" s="309"/>
      <c r="F9" s="309"/>
      <c r="G9" s="309"/>
      <c r="H9" s="309"/>
      <c r="I9" s="309"/>
      <c r="J9" s="309"/>
      <c r="K9" s="309"/>
      <c r="L9" s="327"/>
    </row>
    <row r="10" spans="1:15" x14ac:dyDescent="0.25">
      <c r="A10" s="36" t="s">
        <v>42</v>
      </c>
      <c r="B10" s="309"/>
      <c r="C10" s="309"/>
      <c r="D10" s="309"/>
      <c r="E10" s="309"/>
      <c r="F10" s="309"/>
      <c r="G10" s="309"/>
      <c r="H10" s="309"/>
      <c r="I10" s="309"/>
      <c r="J10" s="309"/>
      <c r="K10" s="309"/>
      <c r="L10" s="327"/>
    </row>
    <row r="11" spans="1:15" x14ac:dyDescent="0.25">
      <c r="A11" s="36" t="s">
        <v>43</v>
      </c>
      <c r="B11" s="309"/>
      <c r="C11" s="309"/>
      <c r="D11" s="309"/>
      <c r="E11" s="309"/>
      <c r="F11" s="309"/>
      <c r="G11" s="309"/>
      <c r="H11" s="309"/>
      <c r="I11" s="309"/>
      <c r="J11" s="309"/>
      <c r="K11" s="309"/>
      <c r="L11" s="327"/>
    </row>
    <row r="12" spans="1:15" x14ac:dyDescent="0.25">
      <c r="A12" s="36" t="s">
        <v>44</v>
      </c>
      <c r="B12" s="309"/>
      <c r="C12" s="309"/>
      <c r="D12" s="309"/>
      <c r="E12" s="309"/>
      <c r="F12" s="309"/>
      <c r="G12" s="309"/>
      <c r="H12" s="309"/>
      <c r="I12" s="309"/>
      <c r="J12" s="309"/>
      <c r="K12" s="309"/>
      <c r="L12" s="327"/>
    </row>
    <row r="13" spans="1:15" x14ac:dyDescent="0.25">
      <c r="A13" s="36" t="s">
        <v>45</v>
      </c>
      <c r="B13" s="309"/>
      <c r="C13" s="309"/>
      <c r="D13" s="309"/>
      <c r="E13" s="309"/>
      <c r="F13" s="309"/>
      <c r="G13" s="309"/>
      <c r="H13" s="309"/>
      <c r="I13" s="309"/>
      <c r="J13" s="309"/>
      <c r="K13" s="309"/>
      <c r="L13" s="327"/>
    </row>
    <row r="14" spans="1:15" x14ac:dyDescent="0.25">
      <c r="A14" s="36" t="s">
        <v>46</v>
      </c>
      <c r="B14" s="309"/>
      <c r="C14" s="309"/>
      <c r="D14" s="309"/>
      <c r="E14" s="309"/>
      <c r="F14" s="309"/>
      <c r="G14" s="309"/>
      <c r="H14" s="309"/>
      <c r="I14" s="309"/>
      <c r="J14" s="309"/>
      <c r="K14" s="309"/>
      <c r="L14" s="327"/>
    </row>
    <row r="15" spans="1:15" ht="15.75" thickBot="1" x14ac:dyDescent="0.3">
      <c r="A15" s="37" t="s">
        <v>47</v>
      </c>
      <c r="B15" s="310"/>
      <c r="C15" s="310"/>
      <c r="D15" s="310"/>
      <c r="E15" s="310"/>
      <c r="F15" s="310"/>
      <c r="G15" s="310"/>
      <c r="H15" s="310"/>
      <c r="I15" s="310"/>
      <c r="J15" s="310"/>
      <c r="K15" s="310"/>
      <c r="L15" s="328"/>
    </row>
    <row r="17" spans="2:9" x14ac:dyDescent="0.25">
      <c r="B17" s="3"/>
      <c r="C17" s="3"/>
      <c r="D17" s="3"/>
      <c r="E17" s="3"/>
      <c r="F17" s="3"/>
      <c r="G17" s="3"/>
      <c r="H17" s="3"/>
      <c r="I17" s="3"/>
    </row>
  </sheetData>
  <sheetProtection algorithmName="SHA-512" hashValue="7iOSMybrN3NlccZxv2w77x+00BFmSvrGphv4E6RFrjZTunHy+NhUptvjjDh5Po/e+lr3r0Hx0mjrLUtHCA1AhQ==" saltValue="Zoh44JLa6tv/osB/pPVtvw==" spinCount="100000" sheet="1" objects="1" scenarios="1"/>
  <mergeCells count="2">
    <mergeCell ref="E1:L1"/>
    <mergeCell ref="A1:D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561975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K11:W11"/>
  <sheetViews>
    <sheetView workbookViewId="0">
      <selection activeCell="C2" sqref="C2"/>
    </sheetView>
  </sheetViews>
  <sheetFormatPr defaultRowHeight="15" x14ac:dyDescent="0.25"/>
  <cols>
    <col min="10" max="10" width="19.5703125" bestFit="1" customWidth="1"/>
  </cols>
  <sheetData>
    <row r="11" spans="11:23" x14ac:dyDescent="0.25">
      <c r="K11" s="404"/>
      <c r="L11" s="404"/>
      <c r="M11" s="404"/>
      <c r="N11" s="404"/>
      <c r="O11" s="404"/>
      <c r="P11" s="404"/>
      <c r="Q11" s="404"/>
      <c r="R11" s="404"/>
      <c r="S11" s="404"/>
      <c r="T11" s="404"/>
      <c r="U11" s="404"/>
      <c r="V11" s="404"/>
      <c r="W11" s="404"/>
    </row>
  </sheetData>
  <sheetProtection algorithmName="SHA-512" hashValue="LxbVrx3+DRPslnnGrdNSzj7as994vywMOVhp1GmPxjGTNgoyL4gp3ABy62V3fX0fxskjbNeD9/Wgz7BDYzjNZg==" saltValue="b3D04rboETx+ualCj5zkKg==" spinCount="100000" sheet="1" objects="1" scenario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571500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W34"/>
  <sheetViews>
    <sheetView tabSelected="1" topLeftCell="A2" workbookViewId="0">
      <selection activeCell="A6" sqref="A6:H6"/>
    </sheetView>
  </sheetViews>
  <sheetFormatPr defaultRowHeight="15" x14ac:dyDescent="0.25"/>
  <cols>
    <col min="1" max="1" width="55.28515625" customWidth="1"/>
    <col min="2" max="2" width="15" customWidth="1"/>
    <col min="3" max="8" width="11.5703125" style="450" customWidth="1"/>
    <col min="9" max="9" width="55.28515625" style="450" customWidth="1"/>
    <col min="10" max="10" width="15" style="450" customWidth="1"/>
    <col min="11" max="16" width="11.5703125" style="450" customWidth="1"/>
  </cols>
  <sheetData>
    <row r="1" spans="1:23" hidden="1" x14ac:dyDescent="0.25"/>
    <row r="2" spans="1:23" ht="18.75" x14ac:dyDescent="0.3">
      <c r="A2" s="550" t="s">
        <v>443</v>
      </c>
      <c r="B2" s="551"/>
      <c r="C2" s="551"/>
      <c r="D2" s="551"/>
      <c r="E2" s="551"/>
      <c r="F2" s="551"/>
      <c r="G2" s="551"/>
      <c r="H2" s="552"/>
      <c r="I2" s="550" t="s">
        <v>443</v>
      </c>
      <c r="J2" s="551"/>
      <c r="K2" s="551"/>
      <c r="L2" s="551"/>
      <c r="M2" s="551"/>
      <c r="N2" s="551"/>
      <c r="O2" s="551"/>
      <c r="P2" s="552"/>
    </row>
    <row r="3" spans="1:23" x14ac:dyDescent="0.25">
      <c r="A3" s="553" t="s">
        <v>444</v>
      </c>
      <c r="B3" s="554"/>
      <c r="C3" s="554"/>
      <c r="D3" s="554"/>
      <c r="E3" s="554"/>
      <c r="F3" s="554"/>
      <c r="G3" s="554"/>
      <c r="H3" s="555"/>
      <c r="I3" s="553" t="s">
        <v>444</v>
      </c>
      <c r="J3" s="554"/>
      <c r="K3" s="554"/>
      <c r="L3" s="554"/>
      <c r="M3" s="554"/>
      <c r="N3" s="554"/>
      <c r="O3" s="554"/>
      <c r="P3" s="555"/>
    </row>
    <row r="4" spans="1:23" x14ac:dyDescent="0.25">
      <c r="A4" s="553" t="s">
        <v>449</v>
      </c>
      <c r="B4" s="554"/>
      <c r="C4" s="554"/>
      <c r="D4" s="554"/>
      <c r="E4" s="554"/>
      <c r="F4" s="554"/>
      <c r="G4" s="554"/>
      <c r="H4" s="555"/>
      <c r="I4" s="553" t="s">
        <v>445</v>
      </c>
      <c r="J4" s="554"/>
      <c r="K4" s="554"/>
      <c r="L4" s="554"/>
      <c r="M4" s="554"/>
      <c r="N4" s="554"/>
      <c r="O4" s="554"/>
      <c r="P4" s="555"/>
    </row>
    <row r="5" spans="1:23" x14ac:dyDescent="0.25">
      <c r="A5" s="553" t="s">
        <v>446</v>
      </c>
      <c r="B5" s="554"/>
      <c r="C5" s="554"/>
      <c r="D5" s="554"/>
      <c r="E5" s="554"/>
      <c r="F5" s="554"/>
      <c r="G5" s="554"/>
      <c r="H5" s="555"/>
      <c r="I5" s="553" t="s">
        <v>446</v>
      </c>
      <c r="J5" s="554"/>
      <c r="K5" s="554"/>
      <c r="L5" s="554"/>
      <c r="M5" s="554"/>
      <c r="N5" s="554"/>
      <c r="O5" s="554"/>
      <c r="P5" s="555"/>
    </row>
    <row r="6" spans="1:23" x14ac:dyDescent="0.25">
      <c r="A6" s="553" t="s">
        <v>447</v>
      </c>
      <c r="B6" s="554"/>
      <c r="C6" s="554"/>
      <c r="D6" s="554"/>
      <c r="E6" s="554"/>
      <c r="F6" s="554"/>
      <c r="G6" s="554"/>
      <c r="H6" s="555"/>
      <c r="I6" s="553" t="s">
        <v>447</v>
      </c>
      <c r="J6" s="554"/>
      <c r="K6" s="554"/>
      <c r="L6" s="554"/>
      <c r="M6" s="554"/>
      <c r="N6" s="554"/>
      <c r="O6" s="554"/>
      <c r="P6" s="555"/>
    </row>
    <row r="7" spans="1:23" x14ac:dyDescent="0.25">
      <c r="A7" s="556" t="s">
        <v>448</v>
      </c>
      <c r="B7" s="557"/>
      <c r="C7" s="557"/>
      <c r="D7" s="557"/>
      <c r="E7" s="557"/>
      <c r="F7" s="557"/>
      <c r="G7" s="557"/>
      <c r="H7" s="558"/>
      <c r="I7" s="556" t="s">
        <v>448</v>
      </c>
      <c r="J7" s="557"/>
      <c r="K7" s="557"/>
      <c r="L7" s="557"/>
      <c r="M7" s="557"/>
      <c r="N7" s="557"/>
      <c r="O7" s="557"/>
      <c r="P7" s="558"/>
    </row>
    <row r="8" spans="1:23" x14ac:dyDescent="0.25">
      <c r="A8" s="450"/>
      <c r="B8" s="450"/>
    </row>
    <row r="9" spans="1:23" s="466" customFormat="1" x14ac:dyDescent="0.25">
      <c r="A9" s="560" t="s">
        <v>440</v>
      </c>
      <c r="B9" s="560"/>
      <c r="C9" s="560"/>
      <c r="D9" s="560"/>
      <c r="E9" s="560"/>
      <c r="F9" s="560"/>
      <c r="G9" s="560"/>
      <c r="H9" s="560"/>
      <c r="I9" s="560" t="s">
        <v>440</v>
      </c>
      <c r="J9" s="560"/>
      <c r="K9" s="560"/>
      <c r="L9" s="560"/>
      <c r="M9" s="560"/>
      <c r="N9" s="560"/>
      <c r="O9" s="560"/>
      <c r="P9" s="560"/>
      <c r="Q9" s="469"/>
      <c r="R9" s="469"/>
      <c r="S9" s="469"/>
      <c r="T9" s="469"/>
      <c r="U9" s="469"/>
      <c r="V9" s="469"/>
      <c r="W9" s="469"/>
    </row>
    <row r="10" spans="1:23" s="463" customFormat="1" x14ac:dyDescent="0.25">
      <c r="A10" s="464" t="s">
        <v>2</v>
      </c>
      <c r="B10" s="464" t="s">
        <v>432</v>
      </c>
      <c r="C10" s="465" t="s">
        <v>4</v>
      </c>
      <c r="D10" s="465" t="s">
        <v>5</v>
      </c>
      <c r="E10" s="465" t="s">
        <v>6</v>
      </c>
      <c r="F10" s="465" t="s">
        <v>7</v>
      </c>
      <c r="G10" s="465" t="s">
        <v>8</v>
      </c>
      <c r="H10" s="465" t="s">
        <v>41</v>
      </c>
      <c r="I10" s="464" t="s">
        <v>2</v>
      </c>
      <c r="J10" s="464" t="s">
        <v>432</v>
      </c>
      <c r="K10" s="465" t="s">
        <v>42</v>
      </c>
      <c r="L10" s="465" t="s">
        <v>53</v>
      </c>
      <c r="M10" s="465" t="s">
        <v>44</v>
      </c>
      <c r="N10" s="465" t="s">
        <v>45</v>
      </c>
      <c r="O10" s="465" t="s">
        <v>46</v>
      </c>
      <c r="P10" s="465" t="s">
        <v>47</v>
      </c>
      <c r="Q10" s="469"/>
      <c r="R10" s="469"/>
      <c r="S10" s="469"/>
      <c r="T10" s="469"/>
      <c r="U10" s="469"/>
      <c r="V10" s="469"/>
      <c r="W10" s="469"/>
    </row>
    <row r="11" spans="1:23" x14ac:dyDescent="0.25">
      <c r="A11" s="460" t="s">
        <v>431</v>
      </c>
      <c r="B11" s="399"/>
      <c r="C11" s="451">
        <f>'INDICADORES ECONÔMICOS MENSAIS'!E6</f>
        <v>1934.9989499999999</v>
      </c>
      <c r="D11" s="451">
        <f>'INDICADORES ECONÔMICOS MENSAIS'!F6</f>
        <v>3199.9989999999998</v>
      </c>
      <c r="E11" s="451">
        <f>'INDICADORES ECONÔMICOS MENSAIS'!G6</f>
        <v>2390.999358</v>
      </c>
      <c r="F11" s="451">
        <f>'INDICADORES ECONÔMICOS MENSAIS'!H6</f>
        <v>2074.9949999999999</v>
      </c>
      <c r="G11" s="451">
        <f>'INDICADORES ECONÔMICOS MENSAIS'!I6</f>
        <v>1835.6585520000001</v>
      </c>
      <c r="H11" s="451">
        <f>'INDICADORES ECONÔMICOS MENSAIS'!J6</f>
        <v>2258.9990499999999</v>
      </c>
      <c r="I11" s="460" t="s">
        <v>431</v>
      </c>
      <c r="J11" s="451"/>
      <c r="K11" s="451">
        <f>'INDICADORES ECONÔMICOS MENSAIS'!K6</f>
        <v>2015.9985450000001</v>
      </c>
      <c r="L11" s="451">
        <f>'INDICADORES ECONÔMICOS MENSAIS'!L6</f>
        <v>1777.348428</v>
      </c>
      <c r="M11" s="451">
        <f>'INDICADORES ECONÔMICOS MENSAIS'!M6</f>
        <v>1639.1999057999999</v>
      </c>
      <c r="N11" s="451">
        <f>'INDICADORES ECONÔMICOS MENSAIS'!N6</f>
        <v>1485.899772</v>
      </c>
      <c r="O11" s="451">
        <f>'INDICADORES ECONÔMICOS MENSAIS'!O6</f>
        <v>2584.6499781999996</v>
      </c>
      <c r="P11" s="451">
        <f>'INDICADORES ECONÔMICOS MENSAIS'!P6</f>
        <v>2874.8979159999999</v>
      </c>
    </row>
    <row r="12" spans="1:23" x14ac:dyDescent="0.25">
      <c r="A12" s="460" t="s">
        <v>300</v>
      </c>
      <c r="B12" s="399"/>
      <c r="C12" s="451">
        <f>'INDICADORES ECONÔMICOS MENSAIS'!E8</f>
        <v>1238.9764800000003</v>
      </c>
      <c r="D12" s="451">
        <f>'INDICADORES ECONÔMICOS MENSAIS'!F8</f>
        <v>1529.9636</v>
      </c>
      <c r="E12" s="451">
        <f>'INDICADORES ECONÔMICOS MENSAIS'!G8</f>
        <v>1133.92</v>
      </c>
      <c r="F12" s="451">
        <f>'INDICADORES ECONÔMICOS MENSAIS'!H8</f>
        <v>1351.5200000000002</v>
      </c>
      <c r="G12" s="451">
        <f>'INDICADORES ECONÔMICOS MENSAIS'!I8</f>
        <v>1158.4000000000001</v>
      </c>
      <c r="H12" s="451">
        <f>'INDICADORES ECONÔMICOS MENSAIS'!J8</f>
        <v>1817.0174</v>
      </c>
      <c r="I12" s="460" t="s">
        <v>300</v>
      </c>
      <c r="J12" s="451"/>
      <c r="K12" s="451">
        <f>'INDICADORES ECONÔMICOS MENSAIS'!K8</f>
        <v>1367.64</v>
      </c>
      <c r="L12" s="451">
        <f>'INDICADORES ECONÔMICOS MENSAIS'!L8</f>
        <v>1318</v>
      </c>
      <c r="M12" s="451">
        <f>'INDICADORES ECONÔMICOS MENSAIS'!M8</f>
        <v>1300.3708344000001</v>
      </c>
      <c r="N12" s="451">
        <f>'INDICADORES ECONÔMICOS MENSAIS'!N8</f>
        <v>18979.392648000001</v>
      </c>
      <c r="O12" s="451">
        <f>'INDICADORES ECONÔMICOS MENSAIS'!O8</f>
        <v>2239.8832367999998</v>
      </c>
      <c r="P12" s="451">
        <f>'INDICADORES ECONÔMICOS MENSAIS'!P8</f>
        <v>2914.4776080000006</v>
      </c>
    </row>
    <row r="13" spans="1:23" x14ac:dyDescent="0.25">
      <c r="A13" s="461" t="s">
        <v>301</v>
      </c>
      <c r="B13" s="399"/>
      <c r="C13" s="451">
        <f>'INDICADORES ECONÔMICOS MENSAIS'!E9</f>
        <v>5561.2624793333343</v>
      </c>
      <c r="D13" s="451">
        <f>'INDICADORES ECONÔMICOS MENSAIS'!F9</f>
        <v>4876.9162660000002</v>
      </c>
      <c r="E13" s="451">
        <f>'INDICADORES ECONÔMICOS MENSAIS'!G9</f>
        <v>3505.5393326666672</v>
      </c>
      <c r="F13" s="451">
        <f>'INDICADORES ECONÔMICOS MENSAIS'!H9</f>
        <v>4698.4726660000006</v>
      </c>
      <c r="G13" s="451">
        <f>'INDICADORES ECONÔMICOS MENSAIS'!I9</f>
        <v>4505.3526660000007</v>
      </c>
      <c r="H13" s="451">
        <f>'INDICADORES ECONÔMICOS MENSAIS'!J9</f>
        <v>6139.3033993333338</v>
      </c>
      <c r="I13" s="461" t="s">
        <v>301</v>
      </c>
      <c r="J13" s="451"/>
      <c r="K13" s="451">
        <f>'INDICADORES ECONÔMICOS MENSAIS'!K9</f>
        <v>5689.9259993333344</v>
      </c>
      <c r="L13" s="451">
        <f>'INDICADORES ECONÔMICOS MENSAIS'!L9</f>
        <v>5640.2859993333341</v>
      </c>
      <c r="M13" s="451">
        <f>'INDICADORES ECONÔMICOS MENSAIS'!M9</f>
        <v>5622.6568337333338</v>
      </c>
      <c r="N13" s="451">
        <f>'INDICADORES ECONÔMICOS MENSAIS'!N9</f>
        <v>23301.678647333334</v>
      </c>
      <c r="O13" s="451">
        <f>'INDICADORES ECONÔMICOS MENSAIS'!O9</f>
        <v>5586.8359028000004</v>
      </c>
      <c r="P13" s="451">
        <f>'INDICADORES ECONÔMICOS MENSAIS'!P9</f>
        <v>7236.7636073333342</v>
      </c>
    </row>
    <row r="14" spans="1:23" x14ac:dyDescent="0.25">
      <c r="A14" s="461" t="s">
        <v>299</v>
      </c>
      <c r="B14" s="399"/>
      <c r="C14" s="449">
        <f>'INDICADORES ECONÔMICOS MENSAIS'!E11</f>
        <v>0.64867878534031431</v>
      </c>
      <c r="D14" s="449">
        <f>'INDICADORES ECONÔMICOS MENSAIS'!F11</f>
        <v>0.66520156521739138</v>
      </c>
      <c r="E14" s="449">
        <f>'INDICADORES ECONÔMICOS MENSAIS'!G11</f>
        <v>0.48129032258064519</v>
      </c>
      <c r="F14" s="449">
        <f>'INDICADORES ECONÔMICOS MENSAIS'!H11</f>
        <v>0.66250980392156877</v>
      </c>
      <c r="G14" s="449">
        <f>'INDICADORES ECONÔMICOS MENSAIS'!I11</f>
        <v>0.6555744199207697</v>
      </c>
      <c r="H14" s="449">
        <f>'INDICADORES ECONÔMICOS MENSAIS'!J11</f>
        <v>0.81700422661870498</v>
      </c>
      <c r="I14" s="461" t="s">
        <v>299</v>
      </c>
      <c r="J14" s="457"/>
      <c r="K14" s="449">
        <f>'INDICADORES ECONÔMICOS MENSAIS'!K11</f>
        <v>0.71792125984251975</v>
      </c>
      <c r="L14" s="449">
        <f>'INDICADORES ECONÔMICOS MENSAIS'!L11</f>
        <v>0.77666470241602825</v>
      </c>
      <c r="M14" s="449">
        <f>'INDICADORES ECONÔMICOS MENSAIS'!M11</f>
        <v>0.84220908963730579</v>
      </c>
      <c r="N14" s="449">
        <f>'INDICADORES ECONÔMICOS MENSAIS'!N11</f>
        <v>13.57610346781116</v>
      </c>
      <c r="O14" s="449">
        <f>'INDICADORES ECONÔMICOS MENSAIS'!O11</f>
        <v>0.79344074984059509</v>
      </c>
      <c r="P14" s="449" t="e">
        <f>'INDICADORES ECONÔMICOS MENSAIS'!P11</f>
        <v>#DIV/0!</v>
      </c>
    </row>
    <row r="15" spans="1:23" x14ac:dyDescent="0.25">
      <c r="A15" s="461" t="s">
        <v>309</v>
      </c>
      <c r="B15" s="399"/>
      <c r="C15" s="449">
        <f>'INDICADORES ECONÔMICOS MENSAIS'!E12</f>
        <v>2.91165574834206</v>
      </c>
      <c r="D15" s="449">
        <f>'INDICADORES ECONÔMICOS MENSAIS'!F12</f>
        <v>2.1203983765217393</v>
      </c>
      <c r="E15" s="449">
        <f>'INDICADORES ECONÔMICOS MENSAIS'!G12</f>
        <v>1.4879199204867009</v>
      </c>
      <c r="F15" s="449">
        <f>'INDICADORES ECONÔMICOS MENSAIS'!H12</f>
        <v>2.3031728754901963</v>
      </c>
      <c r="G15" s="449">
        <f>'INDICADORES ECONÔMICOS MENSAIS'!I12</f>
        <v>2.5497185432937184</v>
      </c>
      <c r="H15" s="449">
        <f>'INDICADORES ECONÔMICOS MENSAIS'!J12</f>
        <v>2.7604781471822544</v>
      </c>
      <c r="I15" s="461" t="s">
        <v>309</v>
      </c>
      <c r="J15" s="457"/>
      <c r="K15" s="449">
        <f>'INDICADORES ECONÔMICOS MENSAIS'!K12</f>
        <v>2.9868377949256351</v>
      </c>
      <c r="L15" s="449">
        <f>'INDICADORES ECONÔMICOS MENSAIS'!L12</f>
        <v>3.3236806124533493</v>
      </c>
      <c r="M15" s="449">
        <f>'INDICADORES ECONÔMICOS MENSAIS'!M12</f>
        <v>3.6416171202936098</v>
      </c>
      <c r="N15" s="449">
        <f>'INDICADORES ECONÔMICOS MENSAIS'!N12</f>
        <v>16.667867415832141</v>
      </c>
      <c r="O15" s="449">
        <f>'INDICADORES ECONÔMICOS MENSAIS'!O12</f>
        <v>1.9790421193057033</v>
      </c>
      <c r="P15" s="449" t="e">
        <f>'INDICADORES ECONÔMICOS MENSAIS'!P12</f>
        <v>#DIV/0!</v>
      </c>
    </row>
    <row r="16" spans="1:23" x14ac:dyDescent="0.25">
      <c r="A16" s="460" t="s">
        <v>433</v>
      </c>
      <c r="B16" s="399"/>
      <c r="C16" s="452">
        <f>'INDICADORES ECONÔMICOS MENSAIS'!E17</f>
        <v>0</v>
      </c>
      <c r="D16" s="452">
        <f>'INDICADORES ECONÔMICOS MENSAIS'!F17</f>
        <v>0</v>
      </c>
      <c r="E16" s="452">
        <f>'INDICADORES ECONÔMICOS MENSAIS'!G17</f>
        <v>0</v>
      </c>
      <c r="F16" s="452">
        <f>'INDICADORES ECONÔMICOS MENSAIS'!H17</f>
        <v>0</v>
      </c>
      <c r="G16" s="452">
        <f>'INDICADORES ECONÔMICOS MENSAIS'!I17</f>
        <v>0</v>
      </c>
      <c r="H16" s="452">
        <f>'INDICADORES ECONÔMICOS MENSAIS'!J17</f>
        <v>0</v>
      </c>
      <c r="I16" s="460" t="s">
        <v>433</v>
      </c>
      <c r="J16" s="452"/>
      <c r="K16" s="452">
        <f>'INDICADORES ECONÔMICOS MENSAIS'!K17</f>
        <v>9.5238163973972501E-2</v>
      </c>
      <c r="L16" s="452">
        <f>'INDICADORES ECONÔMICOS MENSAIS'!L17</f>
        <v>0</v>
      </c>
      <c r="M16" s="452">
        <f>'INDICADORES ECONÔMICOS MENSAIS'!M17</f>
        <v>0</v>
      </c>
      <c r="N16" s="452">
        <f>'INDICADORES ECONÔMICOS MENSAIS'!N17</f>
        <v>0</v>
      </c>
      <c r="O16" s="452">
        <f>'INDICADORES ECONÔMICOS MENSAIS'!O17</f>
        <v>0</v>
      </c>
      <c r="P16" s="452">
        <f>'INDICADORES ECONÔMICOS MENSAIS'!P17</f>
        <v>0</v>
      </c>
    </row>
    <row r="17" spans="1:19" x14ac:dyDescent="0.25">
      <c r="A17" s="460" t="s">
        <v>434</v>
      </c>
      <c r="B17" s="399"/>
      <c r="C17" s="453">
        <f>'INDICADORES ECONÔMICOS MENSAIS'!E19</f>
        <v>0.23152467343716129</v>
      </c>
      <c r="D17" s="453">
        <f>'INDICADORES ECONÔMICOS MENSAIS'!F19</f>
        <v>0.15000004687501467</v>
      </c>
      <c r="E17" s="453">
        <f>'INDICADORES ECONÔMICOS MENSAIS'!G19</f>
        <v>0.22082816468911826</v>
      </c>
      <c r="F17" s="453">
        <f>'INDICADORES ECONÔMICOS MENSAIS'!H19</f>
        <v>0.37860332193571555</v>
      </c>
      <c r="G17" s="453">
        <f>'INDICADORES ECONÔMICOS MENSAIS'!I19</f>
        <v>0.42578724629829739</v>
      </c>
      <c r="H17" s="453">
        <f>'INDICADORES ECONÔMICOS MENSAIS'!J19</f>
        <v>0.47596301556656256</v>
      </c>
      <c r="I17" s="460" t="s">
        <v>434</v>
      </c>
      <c r="J17" s="453"/>
      <c r="K17" s="453">
        <f>'INDICADORES ECONÔMICOS MENSAIS'!K19</f>
        <v>0.29841291378511386</v>
      </c>
      <c r="L17" s="453">
        <f>'INDICADORES ECONÔMICOS MENSAIS'!L19</f>
        <v>0.27681685383075605</v>
      </c>
      <c r="M17" s="453">
        <f>'INDICADORES ECONÔMICOS MENSAIS'!M19</f>
        <v>0.28306492597896293</v>
      </c>
      <c r="N17" s="453">
        <f>'INDICADORES ECONÔMICOS MENSAIS'!N19</f>
        <v>0.31226870664059836</v>
      </c>
      <c r="O17" s="453">
        <f>'INDICADORES ECONÔMICOS MENSAIS'!O19</f>
        <v>0.16249782506043473</v>
      </c>
      <c r="P17" s="453">
        <f>'INDICADORES ECONÔMICOS MENSAIS'!P19</f>
        <v>0.19061546392661549</v>
      </c>
    </row>
    <row r="18" spans="1:19" x14ac:dyDescent="0.25">
      <c r="A18" s="461" t="s">
        <v>298</v>
      </c>
      <c r="B18" s="399"/>
      <c r="C18" s="451">
        <f>'INDICADORES ECONÔMICOS MENSAIS'!E20</f>
        <v>696.02246999999966</v>
      </c>
      <c r="D18" s="451">
        <f>'INDICADORES ECONÔMICOS MENSAIS'!F20</f>
        <v>1670.0353999999998</v>
      </c>
      <c r="E18" s="451">
        <f>'INDICADORES ECONÔMICOS MENSAIS'!G20</f>
        <v>1257.079358</v>
      </c>
      <c r="F18" s="451">
        <f>'INDICADORES ECONÔMICOS MENSAIS'!H20</f>
        <v>723.47499999999968</v>
      </c>
      <c r="G18" s="451">
        <f>'INDICADORES ECONÔMICOS MENSAIS'!I20</f>
        <v>677.25855200000001</v>
      </c>
      <c r="H18" s="451">
        <f>'INDICADORES ECONÔMICOS MENSAIS'!J20</f>
        <v>441.98164999999995</v>
      </c>
      <c r="I18" s="461" t="s">
        <v>298</v>
      </c>
      <c r="J18" s="451"/>
      <c r="K18" s="451">
        <f>'INDICADORES ECONÔMICOS MENSAIS'!K20</f>
        <v>648.35854500000005</v>
      </c>
      <c r="L18" s="451">
        <f>'INDICADORES ECONÔMICOS MENSAIS'!L20</f>
        <v>459.34842800000001</v>
      </c>
      <c r="M18" s="451">
        <f>'INDICADORES ECONÔMICOS MENSAIS'!M20</f>
        <v>338.82907139999975</v>
      </c>
      <c r="N18" s="451">
        <f>'INDICADORES ECONÔMICOS MENSAIS'!N20</f>
        <v>-17493.492876</v>
      </c>
      <c r="O18" s="451">
        <f>'INDICADORES ECONÔMICOS MENSAIS'!O20</f>
        <v>344.76674139999977</v>
      </c>
      <c r="P18" s="451">
        <f>'INDICADORES ECONÔMICOS MENSAIS'!P20</f>
        <v>-39.579692000000705</v>
      </c>
    </row>
    <row r="19" spans="1:19" x14ac:dyDescent="0.25">
      <c r="A19" s="461" t="s">
        <v>311</v>
      </c>
      <c r="B19" s="399"/>
      <c r="C19" s="451">
        <f>'INDICADORES ECONÔMICOS MENSAIS'!E21</f>
        <v>0.36440967015706788</v>
      </c>
      <c r="D19" s="451">
        <f>'INDICADORES ECONÔMICOS MENSAIS'!F21</f>
        <v>0.72610234782608685</v>
      </c>
      <c r="E19" s="451">
        <f>'INDICADORES ECONÔMICOS MENSAIS'!G21</f>
        <v>0.5335650925297114</v>
      </c>
      <c r="F19" s="451">
        <f>'INDICADORES ECONÔMICOS MENSAIS'!H21</f>
        <v>0.35464460784313712</v>
      </c>
      <c r="G19" s="451">
        <f>'INDICADORES ECONÔMICOS MENSAIS'!I21</f>
        <v>0.38328158007923036</v>
      </c>
      <c r="H19" s="451">
        <f>'INDICADORES ECONÔMICOS MENSAIS'!J21</f>
        <v>0.19873275629496401</v>
      </c>
      <c r="I19" s="461" t="s">
        <v>311</v>
      </c>
      <c r="J19" s="451"/>
      <c r="K19" s="451">
        <f>'INDICADORES ECONÔMICOS MENSAIS'!K21</f>
        <v>0.34034569291338584</v>
      </c>
      <c r="L19" s="451">
        <f>'INDICADORES ECONÔMICOS MENSAIS'!L21</f>
        <v>0.2706826328815557</v>
      </c>
      <c r="M19" s="451">
        <f>'INDICADORES ECONÔMICOS MENSAIS'!M21</f>
        <v>0.21944888044041436</v>
      </c>
      <c r="N19" s="451">
        <f>'INDICADORES ECONÔMICOS MENSAIS'!N21</f>
        <v>-12.513228094420601</v>
      </c>
      <c r="O19" s="451">
        <f>'INDICADORES ECONÔMICOS MENSAIS'!O21</f>
        <v>0.12212778653914268</v>
      </c>
      <c r="P19" s="451" t="e">
        <f>'INDICADORES ECONÔMICOS MENSAIS'!P21</f>
        <v>#DIV/0!</v>
      </c>
    </row>
    <row r="20" spans="1:19" x14ac:dyDescent="0.25">
      <c r="A20" s="461" t="s">
        <v>436</v>
      </c>
      <c r="B20" s="399"/>
      <c r="C20" s="451">
        <f>'INDICADORES ECONÔMICOS MENSAIS'!E23</f>
        <v>278.40898799999985</v>
      </c>
      <c r="D20" s="451">
        <f>'INDICADORES ECONÔMICOS MENSAIS'!F23</f>
        <v>668.01415999999995</v>
      </c>
      <c r="E20" s="451">
        <f>'INDICADORES ECONÔMICOS MENSAIS'!G23</f>
        <v>502.83174320000001</v>
      </c>
      <c r="F20" s="451">
        <f>'INDICADORES ECONÔMICOS MENSAIS'!H23</f>
        <v>289.38999999999987</v>
      </c>
      <c r="G20" s="451">
        <f>'INDICADORES ECONÔMICOS MENSAIS'!I23</f>
        <v>270.90342079999999</v>
      </c>
      <c r="H20" s="451">
        <f>'INDICADORES ECONÔMICOS MENSAIS'!J23</f>
        <v>176.79265999999998</v>
      </c>
      <c r="I20" s="461" t="s">
        <v>436</v>
      </c>
      <c r="J20" s="451"/>
      <c r="K20" s="451">
        <f>'INDICADORES ECONÔMICOS MENSAIS'!K23</f>
        <v>259.34341800000004</v>
      </c>
      <c r="L20" s="451">
        <f>'INDICADORES ECONÔMICOS MENSAIS'!L23</f>
        <v>183.73937119999999</v>
      </c>
      <c r="M20" s="451">
        <f>'INDICADORES ECONÔMICOS MENSAIS'!M23</f>
        <v>135.53162855999989</v>
      </c>
      <c r="N20" s="451">
        <f>'INDICADORES ECONÔMICOS MENSAIS'!N23</f>
        <v>-6997.3971504000001</v>
      </c>
      <c r="O20" s="451">
        <f>'INDICADORES ECONÔMICOS MENSAIS'!O23</f>
        <v>137.90669655999992</v>
      </c>
      <c r="P20" s="451">
        <f>'INDICADORES ECONÔMICOS MENSAIS'!P23</f>
        <v>-15.831876800000282</v>
      </c>
    </row>
    <row r="21" spans="1:19" x14ac:dyDescent="0.25">
      <c r="A21" s="461" t="s">
        <v>437</v>
      </c>
      <c r="B21" s="399"/>
      <c r="C21" s="451">
        <f>'INDICADORES ECONÔMICOS MENSAIS'!E24</f>
        <v>99.431781428571384</v>
      </c>
      <c r="D21" s="451">
        <f>'INDICADORES ECONÔMICOS MENSAIS'!F24</f>
        <v>238.57648571428567</v>
      </c>
      <c r="E21" s="451">
        <f>'INDICADORES ECONÔMICOS MENSAIS'!G24</f>
        <v>179.58276542857143</v>
      </c>
      <c r="F21" s="451">
        <f>'INDICADORES ECONÔMICOS MENSAIS'!H24</f>
        <v>103.35357142857139</v>
      </c>
      <c r="G21" s="451">
        <f>'INDICADORES ECONÔMICOS MENSAIS'!I24</f>
        <v>112.87642533333333</v>
      </c>
      <c r="H21" s="451">
        <f>'INDICADORES ECONÔMICOS MENSAIS'!J24</f>
        <v>73.663608333333329</v>
      </c>
      <c r="I21" s="461" t="s">
        <v>437</v>
      </c>
      <c r="J21" s="451"/>
      <c r="K21" s="451">
        <f>'INDICADORES ECONÔMICOS MENSAIS'!K24</f>
        <v>108.0597575</v>
      </c>
      <c r="L21" s="451">
        <f>'INDICADORES ECONÔMICOS MENSAIS'!L24</f>
        <v>76.558071333333331</v>
      </c>
      <c r="M21" s="451">
        <f>'INDICADORES ECONÔMICOS MENSAIS'!M24</f>
        <v>67.765814279999944</v>
      </c>
      <c r="N21" s="451">
        <f>'INDICADORES ECONÔMICOS MENSAIS'!N24</f>
        <v>-3498.6985752000001</v>
      </c>
      <c r="O21" s="451">
        <f>'INDICADORES ECONÔMICOS MENSAIS'!O24</f>
        <v>68.953348279999958</v>
      </c>
      <c r="P21" s="451">
        <f>'INDICADORES ECONÔMICOS MENSAIS'!P24</f>
        <v>-4.3977435555556337</v>
      </c>
    </row>
    <row r="22" spans="1:19" x14ac:dyDescent="0.25">
      <c r="A22" s="461" t="s">
        <v>438</v>
      </c>
      <c r="B22" s="399"/>
      <c r="C22" s="451">
        <f>'INDICADORES ECONÔMICOS MENSAIS'!E26</f>
        <v>-3626.2635293333342</v>
      </c>
      <c r="D22" s="451">
        <f>'INDICADORES ECONÔMICOS MENSAIS'!F26</f>
        <v>-1676.9172660000004</v>
      </c>
      <c r="E22" s="451">
        <f>'INDICADORES ECONÔMICOS MENSAIS'!G26</f>
        <v>-1114.5399746666671</v>
      </c>
      <c r="F22" s="451">
        <f>'INDICADORES ECONÔMICOS MENSAIS'!H26</f>
        <v>-2623.4776660000007</v>
      </c>
      <c r="G22" s="451">
        <f>'INDICADORES ECONÔMICOS MENSAIS'!I26</f>
        <v>-2669.6941140000008</v>
      </c>
      <c r="H22" s="451">
        <f>'INDICADORES ECONÔMICOS MENSAIS'!J26</f>
        <v>-3880.3043493333339</v>
      </c>
      <c r="I22" s="461" t="s">
        <v>438</v>
      </c>
      <c r="J22" s="451"/>
      <c r="K22" s="451">
        <f>'INDICADORES ECONÔMICOS MENSAIS'!K26</f>
        <v>-3673.927454333334</v>
      </c>
      <c r="L22" s="451">
        <f>'INDICADORES ECONÔMICOS MENSAIS'!L26</f>
        <v>-3862.9375713333338</v>
      </c>
      <c r="M22" s="451">
        <f>'INDICADORES ECONÔMICOS MENSAIS'!M26</f>
        <v>-3983.4569279333336</v>
      </c>
      <c r="N22" s="451">
        <f>'INDICADORES ECONÔMICOS MENSAIS'!N26</f>
        <v>-21815.778875333333</v>
      </c>
      <c r="O22" s="451">
        <f>'INDICADORES ECONÔMICOS MENSAIS'!O26</f>
        <v>-3002.1859246000008</v>
      </c>
      <c r="P22" s="451">
        <f>'INDICADORES ECONÔMICOS MENSAIS'!P26</f>
        <v>-4361.8656913333343</v>
      </c>
    </row>
    <row r="23" spans="1:19" x14ac:dyDescent="0.25">
      <c r="A23" s="461" t="s">
        <v>439</v>
      </c>
      <c r="B23" s="399"/>
      <c r="C23" s="451">
        <f>'INDICADORES ECONÔMICOS MENSAIS'!E35</f>
        <v>395.3687615251211</v>
      </c>
      <c r="D23" s="451">
        <f>'INDICADORES ECONÔMICOS MENSAIS'!F35</f>
        <v>153.64926060449579</v>
      </c>
      <c r="E23" s="451">
        <f>'INDICADORES ECONÔMICOS MENSAIS'!G35</f>
        <v>148.16182479395141</v>
      </c>
      <c r="F23" s="451">
        <f>'INDICADORES ECONÔMICOS MENSAIS'!H35</f>
        <v>314.58278625799107</v>
      </c>
      <c r="G23" s="451">
        <f>'INDICADORES ECONÔMICOS MENSAIS'!I35</f>
        <v>291.07866035097334</v>
      </c>
      <c r="H23" s="451">
        <f>'INDICADORES ECONÔMICOS MENSAIS'!J35</f>
        <v>724.97459736298526</v>
      </c>
      <c r="I23" s="461" t="s">
        <v>439</v>
      </c>
      <c r="J23" s="451"/>
      <c r="K23" s="451">
        <f>'INDICADORES ECONÔMICOS MENSAIS'!K35</f>
        <v>423.32311816398857</v>
      </c>
      <c r="L23" s="451">
        <f>'INDICADORES ECONÔMICOS MENSAIS'!L35</f>
        <v>532.26983365727096</v>
      </c>
      <c r="M23" s="451">
        <f>'INDICADORES ECONÔMICOS MENSAIS'!M35</f>
        <v>656.53650038509966</v>
      </c>
      <c r="N23" s="451">
        <f>'INDICADORES ECONÔMICOS MENSAIS'!N35</f>
        <v>-11.513911429618906</v>
      </c>
      <c r="O23" s="451">
        <f>'INDICADORES ECONÔMICOS MENSAIS'!O35</f>
        <v>913.5111020038787</v>
      </c>
      <c r="P23" s="451" t="e">
        <f>'INDICADORES ECONÔMICOS MENSAIS'!P35</f>
        <v>#DIV/0!</v>
      </c>
    </row>
    <row r="24" spans="1:19" x14ac:dyDescent="0.25">
      <c r="A24" s="399"/>
      <c r="B24" s="399"/>
      <c r="C24" s="449"/>
      <c r="D24" s="449"/>
      <c r="E24" s="449"/>
      <c r="F24" s="449"/>
      <c r="G24" s="449"/>
      <c r="H24" s="449"/>
      <c r="I24" s="457"/>
      <c r="J24" s="457"/>
      <c r="K24" s="449"/>
    </row>
    <row r="25" spans="1:19" s="1" customFormat="1" x14ac:dyDescent="0.25">
      <c r="A25" s="559" t="s">
        <v>441</v>
      </c>
      <c r="B25" s="559"/>
      <c r="C25" s="559"/>
      <c r="D25" s="559"/>
      <c r="E25" s="559"/>
      <c r="F25" s="559"/>
      <c r="G25" s="559"/>
      <c r="H25" s="559"/>
      <c r="I25" s="559" t="s">
        <v>441</v>
      </c>
      <c r="J25" s="559"/>
      <c r="K25" s="559"/>
      <c r="L25" s="559"/>
      <c r="M25" s="559"/>
      <c r="N25" s="559"/>
      <c r="O25" s="559"/>
      <c r="P25" s="559"/>
      <c r="Q25" s="469"/>
      <c r="R25" s="469"/>
      <c r="S25" s="469"/>
    </row>
    <row r="26" spans="1:19" s="466" customFormat="1" x14ac:dyDescent="0.25">
      <c r="A26" s="467" t="s">
        <v>2</v>
      </c>
      <c r="B26" s="467" t="s">
        <v>432</v>
      </c>
      <c r="C26" s="468" t="s">
        <v>4</v>
      </c>
      <c r="D26" s="468" t="s">
        <v>5</v>
      </c>
      <c r="E26" s="468" t="s">
        <v>6</v>
      </c>
      <c r="F26" s="468" t="s">
        <v>7</v>
      </c>
      <c r="G26" s="468" t="s">
        <v>8</v>
      </c>
      <c r="H26" s="468" t="s">
        <v>41</v>
      </c>
      <c r="I26" s="467" t="s">
        <v>2</v>
      </c>
      <c r="J26" s="467" t="s">
        <v>432</v>
      </c>
      <c r="K26" s="468" t="s">
        <v>42</v>
      </c>
      <c r="L26" s="468" t="s">
        <v>53</v>
      </c>
      <c r="M26" s="468" t="s">
        <v>44</v>
      </c>
      <c r="N26" s="468" t="s">
        <v>45</v>
      </c>
      <c r="O26" s="468" t="s">
        <v>46</v>
      </c>
      <c r="P26" s="468" t="s">
        <v>47</v>
      </c>
      <c r="Q26" s="469"/>
      <c r="R26" s="469"/>
      <c r="S26" s="469"/>
    </row>
    <row r="27" spans="1:19" x14ac:dyDescent="0.25">
      <c r="A27" s="461" t="s">
        <v>442</v>
      </c>
      <c r="B27" s="399"/>
      <c r="C27" s="458">
        <f>'INDICADORES TÉCNICOS MENSAIS'!D7</f>
        <v>1910</v>
      </c>
      <c r="D27" s="458">
        <f>'INDICADORES TÉCNICOS MENSAIS'!E7</f>
        <v>2300</v>
      </c>
      <c r="E27" s="458">
        <f>'INDICADORES TÉCNICOS MENSAIS'!F7</f>
        <v>2356</v>
      </c>
      <c r="F27" s="458">
        <f>'INDICADORES TÉCNICOS MENSAIS'!G7</f>
        <v>2040</v>
      </c>
      <c r="G27" s="458">
        <f>'INDICADORES TÉCNICOS MENSAIS'!H7</f>
        <v>1767</v>
      </c>
      <c r="H27" s="458">
        <f>'INDICADORES TÉCNICOS MENSAIS'!I7</f>
        <v>2224</v>
      </c>
      <c r="I27" s="461" t="s">
        <v>442</v>
      </c>
      <c r="J27" s="458"/>
      <c r="K27" s="458">
        <f>'INDICADORES TÉCNICOS MENSAIS'!J7</f>
        <v>1905</v>
      </c>
      <c r="L27" s="458">
        <f>'INDICADORES TÉCNICOS MENSAIS'!K7</f>
        <v>1697</v>
      </c>
      <c r="M27" s="458">
        <f>'INDICADORES TÉCNICOS MENSAIS'!L7</f>
        <v>1544</v>
      </c>
      <c r="N27" s="458">
        <f>'INDICADORES TÉCNICOS MENSAIS'!M7</f>
        <v>1398</v>
      </c>
      <c r="O27" s="458">
        <f>'INDICADORES TÉCNICOS MENSAIS'!N7</f>
        <v>2823</v>
      </c>
      <c r="P27" s="458">
        <f>'INDICADORES TÉCNICOS MENSAIS'!O7</f>
        <v>0</v>
      </c>
    </row>
    <row r="28" spans="1:19" x14ac:dyDescent="0.25">
      <c r="A28" s="462" t="s">
        <v>316</v>
      </c>
      <c r="C28" s="459">
        <f>'INDICADORES TÉCNICOS MENSAIS'!D18</f>
        <v>0.58333333333333337</v>
      </c>
      <c r="D28" s="459">
        <f>'INDICADORES TÉCNICOS MENSAIS'!E18</f>
        <v>0.58333333333333337</v>
      </c>
      <c r="E28" s="459">
        <f>'INDICADORES TÉCNICOS MENSAIS'!F18</f>
        <v>0.58333333333333337</v>
      </c>
      <c r="F28" s="459">
        <f>'INDICADORES TÉCNICOS MENSAIS'!G18</f>
        <v>0.58333333333333337</v>
      </c>
      <c r="G28" s="459">
        <f>'INDICADORES TÉCNICOS MENSAIS'!H18</f>
        <v>0.42857142857142855</v>
      </c>
      <c r="H28" s="459">
        <f>'INDICADORES TÉCNICOS MENSAIS'!I18</f>
        <v>0.66666666666666663</v>
      </c>
      <c r="I28" s="462" t="s">
        <v>316</v>
      </c>
      <c r="J28" s="459"/>
      <c r="K28" s="459">
        <f>'INDICADORES TÉCNICOS MENSAIS'!J18</f>
        <v>0.66666666666666663</v>
      </c>
      <c r="L28" s="459">
        <f>'INDICADORES TÉCNICOS MENSAIS'!K18</f>
        <v>0.66666666666666663</v>
      </c>
      <c r="M28" s="459">
        <f>'INDICADORES TÉCNICOS MENSAIS'!L18</f>
        <v>0.55555555555555558</v>
      </c>
      <c r="N28" s="459">
        <f>'INDICADORES TÉCNICOS MENSAIS'!M18</f>
        <v>0.55555555555555558</v>
      </c>
      <c r="O28" s="459">
        <f>'INDICADORES TÉCNICOS MENSAIS'!N18</f>
        <v>0.55555555555555558</v>
      </c>
      <c r="P28" s="459">
        <f>'INDICADORES TÉCNICOS MENSAIS'!O18</f>
        <v>1</v>
      </c>
    </row>
    <row r="29" spans="1:19" x14ac:dyDescent="0.25">
      <c r="A29" s="462" t="s">
        <v>13</v>
      </c>
      <c r="C29" s="459">
        <f>'INDICADORES TÉCNICOS MENSAIS'!D19</f>
        <v>0.35</v>
      </c>
      <c r="D29" s="459">
        <f>'INDICADORES TÉCNICOS MENSAIS'!E19</f>
        <v>0.35</v>
      </c>
      <c r="E29" s="459">
        <f>'INDICADORES TÉCNICOS MENSAIS'!F19</f>
        <v>0.35</v>
      </c>
      <c r="F29" s="459">
        <f>'INDICADORES TÉCNICOS MENSAIS'!G19</f>
        <v>0.35</v>
      </c>
      <c r="G29" s="459">
        <f>'INDICADORES TÉCNICOS MENSAIS'!H19</f>
        <v>0.22222222222222221</v>
      </c>
      <c r="H29" s="459">
        <f>'INDICADORES TÉCNICOS MENSAIS'!I19</f>
        <v>0.2857142857142857</v>
      </c>
      <c r="I29" s="462" t="s">
        <v>13</v>
      </c>
      <c r="J29" s="459"/>
      <c r="K29" s="459">
        <f>'INDICADORES TÉCNICOS MENSAIS'!J19</f>
        <v>0.2857142857142857</v>
      </c>
      <c r="L29" s="459">
        <f>'INDICADORES TÉCNICOS MENSAIS'!K19</f>
        <v>0.2857142857142857</v>
      </c>
      <c r="M29" s="459">
        <f>'INDICADORES TÉCNICOS MENSAIS'!L19</f>
        <v>0.23809523809523808</v>
      </c>
      <c r="N29" s="459">
        <f>'INDICADORES TÉCNICOS MENSAIS'!M19</f>
        <v>0.20833333333333334</v>
      </c>
      <c r="O29" s="459">
        <f>'INDICADORES TÉCNICOS MENSAIS'!N19</f>
        <v>0.22727272727272727</v>
      </c>
      <c r="P29" s="459">
        <f>'INDICADORES TÉCNICOS MENSAIS'!O19</f>
        <v>0.33333333333333331</v>
      </c>
    </row>
    <row r="30" spans="1:19" x14ac:dyDescent="0.25">
      <c r="A30" s="462" t="s">
        <v>326</v>
      </c>
      <c r="C30" s="459">
        <f>'INDICADORES TÉCNICOS MENSAIS'!D20</f>
        <v>2.8</v>
      </c>
      <c r="D30" s="459">
        <f>'INDICADORES TÉCNICOS MENSAIS'!E20</f>
        <v>2.8</v>
      </c>
      <c r="E30" s="459">
        <f>'INDICADORES TÉCNICOS MENSAIS'!F20</f>
        <v>2.8</v>
      </c>
      <c r="F30" s="459">
        <f>'INDICADORES TÉCNICOS MENSAIS'!G20</f>
        <v>2.8</v>
      </c>
      <c r="G30" s="459">
        <f>'INDICADORES TÉCNICOS MENSAIS'!H20</f>
        <v>2.4</v>
      </c>
      <c r="H30" s="459">
        <f>'INDICADORES TÉCNICOS MENSAIS'!I20</f>
        <v>2.4</v>
      </c>
      <c r="I30" s="462" t="s">
        <v>326</v>
      </c>
      <c r="J30" s="459"/>
      <c r="K30" s="459">
        <f>'INDICADORES TÉCNICOS MENSAIS'!J20</f>
        <v>2.4</v>
      </c>
      <c r="L30" s="459">
        <f>'INDICADORES TÉCNICOS MENSAIS'!K20</f>
        <v>2.4</v>
      </c>
      <c r="M30" s="459">
        <f>'INDICADORES TÉCNICOS MENSAIS'!L20</f>
        <v>2</v>
      </c>
      <c r="N30" s="459">
        <f>'INDICADORES TÉCNICOS MENSAIS'!M20</f>
        <v>2</v>
      </c>
      <c r="O30" s="459">
        <f>'INDICADORES TÉCNICOS MENSAIS'!N20</f>
        <v>2</v>
      </c>
      <c r="P30" s="459">
        <f>'INDICADORES TÉCNICOS MENSAIS'!O20</f>
        <v>3.6</v>
      </c>
    </row>
    <row r="31" spans="1:19" x14ac:dyDescent="0.25">
      <c r="A31" s="462" t="s">
        <v>355</v>
      </c>
      <c r="C31" s="459" t="e">
        <f>'INDICADORES TÉCNICOS MENSAIS'!D21</f>
        <v>#DIV/0!</v>
      </c>
      <c r="D31" s="459" t="e">
        <f>'INDICADORES TÉCNICOS MENSAIS'!E21</f>
        <v>#DIV/0!</v>
      </c>
      <c r="E31" s="459" t="e">
        <f>'INDICADORES TÉCNICOS MENSAIS'!F21</f>
        <v>#DIV/0!</v>
      </c>
      <c r="F31" s="459" t="e">
        <f>'INDICADORES TÉCNICOS MENSAIS'!G21</f>
        <v>#DIV/0!</v>
      </c>
      <c r="G31" s="459" t="e">
        <f>'INDICADORES TÉCNICOS MENSAIS'!H21</f>
        <v>#DIV/0!</v>
      </c>
      <c r="H31" s="459" t="e">
        <f>'INDICADORES TÉCNICOS MENSAIS'!I21</f>
        <v>#DIV/0!</v>
      </c>
      <c r="I31" s="462" t="s">
        <v>355</v>
      </c>
      <c r="J31" s="459"/>
      <c r="K31" s="459">
        <f>'INDICADORES TÉCNICOS MENSAIS'!J21</f>
        <v>0.75</v>
      </c>
      <c r="L31" s="459" t="e">
        <f>'INDICADORES TÉCNICOS MENSAIS'!K21</f>
        <v>#DIV/0!</v>
      </c>
      <c r="M31" s="459" t="e">
        <f>'INDICADORES TÉCNICOS MENSAIS'!L21</f>
        <v>#DIV/0!</v>
      </c>
      <c r="N31" s="459" t="e">
        <f>'INDICADORES TÉCNICOS MENSAIS'!M21</f>
        <v>#DIV/0!</v>
      </c>
      <c r="O31" s="459" t="e">
        <f>'INDICADORES TÉCNICOS MENSAIS'!N21</f>
        <v>#DIV/0!</v>
      </c>
      <c r="P31" s="459" t="e">
        <f>'INDICADORES TÉCNICOS MENSAIS'!O21</f>
        <v>#DIV/0!</v>
      </c>
    </row>
    <row r="32" spans="1:19" x14ac:dyDescent="0.25">
      <c r="A32" s="462" t="s">
        <v>328</v>
      </c>
      <c r="C32" s="459">
        <f>'INDICADORES TÉCNICOS MENSAIS'!D22</f>
        <v>9.0952380952380949</v>
      </c>
      <c r="D32" s="459">
        <f>'INDICADORES TÉCNICOS MENSAIS'!E22</f>
        <v>10.952380952380953</v>
      </c>
      <c r="E32" s="459">
        <f>'INDICADORES TÉCNICOS MENSAIS'!F22</f>
        <v>11.219047619047618</v>
      </c>
      <c r="F32" s="459">
        <f>'INDICADORES TÉCNICOS MENSAIS'!G22</f>
        <v>9.7142857142857153</v>
      </c>
      <c r="G32" s="459">
        <f>'INDICADORES TÉCNICOS MENSAIS'!H22</f>
        <v>9.8166666666666664</v>
      </c>
      <c r="H32" s="459">
        <f>'INDICADORES TÉCNICOS MENSAIS'!I22</f>
        <v>12.355555555555556</v>
      </c>
      <c r="I32" s="462" t="s">
        <v>328</v>
      </c>
      <c r="J32" s="459"/>
      <c r="K32" s="459">
        <f>'INDICADORES TÉCNICOS MENSAIS'!J22</f>
        <v>10.583333333333334</v>
      </c>
      <c r="L32" s="459">
        <f>'INDICADORES TÉCNICOS MENSAIS'!K22</f>
        <v>9.4277777777777771</v>
      </c>
      <c r="M32" s="459">
        <f>'INDICADORES TÉCNICOS MENSAIS'!L22</f>
        <v>10.293333333333333</v>
      </c>
      <c r="N32" s="459">
        <f>'INDICADORES TÉCNICOS MENSAIS'!M22</f>
        <v>9.32</v>
      </c>
      <c r="O32" s="459">
        <f>'INDICADORES TÉCNICOS MENSAIS'!N22</f>
        <v>18.82</v>
      </c>
      <c r="P32" s="459">
        <f>'INDICADORES TÉCNICOS MENSAIS'!O22</f>
        <v>0</v>
      </c>
    </row>
    <row r="33" spans="1:16" x14ac:dyDescent="0.25">
      <c r="A33" s="462" t="s">
        <v>331</v>
      </c>
      <c r="C33" s="459" t="e">
        <f>'INDICADORES TÉCNICOS MENSAIS'!D23</f>
        <v>#DIV/0!</v>
      </c>
      <c r="D33" s="459" t="e">
        <f>'INDICADORES TÉCNICOS MENSAIS'!E23</f>
        <v>#DIV/0!</v>
      </c>
      <c r="E33" s="459" t="e">
        <f>'INDICADORES TÉCNICOS MENSAIS'!F23</f>
        <v>#DIV/0!</v>
      </c>
      <c r="F33" s="459" t="e">
        <f>'INDICADORES TÉCNICOS MENSAIS'!G23</f>
        <v>#DIV/0!</v>
      </c>
      <c r="G33" s="459" t="e">
        <f>'INDICADORES TÉCNICOS MENSAIS'!H23</f>
        <v>#DIV/0!</v>
      </c>
      <c r="H33" s="459" t="e">
        <f>'INDICADORES TÉCNICOS MENSAIS'!I23</f>
        <v>#DIV/0!</v>
      </c>
      <c r="I33" s="462" t="s">
        <v>331</v>
      </c>
      <c r="J33" s="459"/>
      <c r="K33" s="459">
        <f>'INDICADORES TÉCNICOS MENSAIS'!J23</f>
        <v>238.125</v>
      </c>
      <c r="L33" s="459" t="e">
        <f>'INDICADORES TÉCNICOS MENSAIS'!K23</f>
        <v>#DIV/0!</v>
      </c>
      <c r="M33" s="459" t="e">
        <f>'INDICADORES TÉCNICOS MENSAIS'!L23</f>
        <v>#DIV/0!</v>
      </c>
      <c r="N33" s="459" t="e">
        <f>'INDICADORES TÉCNICOS MENSAIS'!M23</f>
        <v>#DIV/0!</v>
      </c>
      <c r="O33" s="459" t="e">
        <f>'INDICADORES TÉCNICOS MENSAIS'!N23</f>
        <v>#DIV/0!</v>
      </c>
      <c r="P33" s="459" t="e">
        <f>'INDICADORES TÉCNICOS MENSAIS'!O23</f>
        <v>#DIV/0!</v>
      </c>
    </row>
    <row r="34" spans="1:16" x14ac:dyDescent="0.25">
      <c r="A34" s="462" t="s">
        <v>15</v>
      </c>
      <c r="C34" s="459">
        <f>'INDICADORES TÉCNICOS MENSAIS'!D24</f>
        <v>764</v>
      </c>
      <c r="D34" s="459">
        <f>'INDICADORES TÉCNICOS MENSAIS'!E24</f>
        <v>920</v>
      </c>
      <c r="E34" s="459">
        <f>'INDICADORES TÉCNICOS MENSAIS'!F24</f>
        <v>942.4</v>
      </c>
      <c r="F34" s="459">
        <f>'INDICADORES TÉCNICOS MENSAIS'!G24</f>
        <v>816</v>
      </c>
      <c r="G34" s="459">
        <f>'INDICADORES TÉCNICOS MENSAIS'!H24</f>
        <v>706.8</v>
      </c>
      <c r="H34" s="459">
        <f>'INDICADORES TÉCNICOS MENSAIS'!I24</f>
        <v>889.6</v>
      </c>
      <c r="I34" s="462" t="s">
        <v>15</v>
      </c>
      <c r="J34" s="459"/>
      <c r="K34" s="459">
        <f>'INDICADORES TÉCNICOS MENSAIS'!J24</f>
        <v>762</v>
      </c>
      <c r="L34" s="459">
        <f>'INDICADORES TÉCNICOS MENSAIS'!K24</f>
        <v>678.8</v>
      </c>
      <c r="M34" s="459">
        <f>'INDICADORES TÉCNICOS MENSAIS'!L24</f>
        <v>617.6</v>
      </c>
      <c r="N34" s="459">
        <f>'INDICADORES TÉCNICOS MENSAIS'!M24</f>
        <v>559.20000000000005</v>
      </c>
      <c r="O34" s="459">
        <f>'INDICADORES TÉCNICOS MENSAIS'!N24</f>
        <v>1129.2</v>
      </c>
      <c r="P34" s="459">
        <f>'INDICADORES TÉCNICOS MENSAIS'!O24</f>
        <v>0</v>
      </c>
    </row>
  </sheetData>
  <sheetProtection algorithmName="SHA-512" hashValue="rnKJOab3VDt4M9qBqsDU6OJLoeo8ticjZlLuLYdL3hKuiu3YJjQlzvIep17N8XIJOwM6Ab/MwuS27LxuvahmZA==" saltValue="RlVm++eLoHUJ2sHyEWMRHA==" spinCount="100000" sheet="1" objects="1" scenarios="1"/>
  <mergeCells count="16">
    <mergeCell ref="I2:P2"/>
    <mergeCell ref="I3:P3"/>
    <mergeCell ref="I4:P4"/>
    <mergeCell ref="I5:P5"/>
    <mergeCell ref="I6:P6"/>
    <mergeCell ref="A7:H7"/>
    <mergeCell ref="A25:H25"/>
    <mergeCell ref="I25:P25"/>
    <mergeCell ref="I9:P9"/>
    <mergeCell ref="I7:P7"/>
    <mergeCell ref="A9:H9"/>
    <mergeCell ref="A2:H2"/>
    <mergeCell ref="A3:H3"/>
    <mergeCell ref="A4:H4"/>
    <mergeCell ref="A5:H5"/>
    <mergeCell ref="A6:H6"/>
  </mergeCells>
  <pageMargins left="0.25" right="0.25" top="0.75" bottom="0.75" header="0.3" footer="0.3"/>
  <pageSetup paperSize="9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1</xdr:row>
                    <xdr:rowOff>28575</xdr:rowOff>
                  </from>
                  <to>
                    <xdr:col>0</xdr:col>
                    <xdr:colOff>571500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MENU</vt:lpstr>
      <vt:lpstr>PERFIL</vt:lpstr>
      <vt:lpstr>INVENTÁRIO</vt:lpstr>
      <vt:lpstr>DADOS ECONÔMICOS MENSAIS</vt:lpstr>
      <vt:lpstr>DADOS TÉCNICOS MENSAIS</vt:lpstr>
      <vt:lpstr>INDICADORES ECONÔMICOS MENSAIS</vt:lpstr>
      <vt:lpstr>INDICADORES TÉCNICOS MENSAIS</vt:lpstr>
      <vt:lpstr>INDICADORES ECÔNOMICOS ANUAIS</vt:lpstr>
      <vt:lpstr>INDICADORES TÉCNICOS ANUAIS</vt:lpstr>
      <vt:lpstr>CÁLCULO DO VOLUMOSO</vt:lpstr>
      <vt:lpstr>CUSTO IMPLANTAÇÃO FORRAGEIRAS</vt:lpstr>
      <vt:lpstr>ANÁLISES</vt:lpstr>
      <vt:lpstr>GRÁFICOS</vt:lpstr>
      <vt:lpstr>RETORNO MENSAL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Moises Tenorio Ferrer</cp:lastModifiedBy>
  <cp:lastPrinted>2016-03-25T17:07:15Z</cp:lastPrinted>
  <dcterms:created xsi:type="dcterms:W3CDTF">2015-02-08T00:04:01Z</dcterms:created>
  <dcterms:modified xsi:type="dcterms:W3CDTF">2016-08-17T15:49:31Z</dcterms:modified>
</cp:coreProperties>
</file>