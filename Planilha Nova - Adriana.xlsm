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7A2D7E96-6E34-419A-AE5F-296B3A7E7977}"/>
  <workbookPr codeName="EstaPasta_de_trabalho" defaultThemeVersion="124226"/>
  <bookViews>
    <workbookView xWindow="0" yWindow="0" windowWidth="11940" windowHeight="4305" tabRatio="695" activeTab="2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Plan1" sheetId="16" r:id="rId14"/>
    <sheet name="RETORNO MENSAL" sheetId="8" r:id="rId15"/>
  </sheets>
  <externalReferences>
    <externalReference r:id="rId16"/>
  </externalReferences>
  <calcPr calcId="124519"/>
</workbook>
</file>

<file path=xl/calcChain.xml><?xml version="1.0" encoding="utf-8"?>
<calcChain xmlns="http://schemas.openxmlformats.org/spreadsheetml/2006/main">
  <c r="J11" i="3"/>
  <c r="J8"/>
  <c r="J7"/>
  <c r="E132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G96"/>
  <c r="G95"/>
  <c r="E90"/>
  <c r="G90" s="1"/>
  <c r="E89"/>
  <c r="G89" s="1"/>
  <c r="G88"/>
  <c r="E88"/>
  <c r="E87"/>
  <c r="G87" s="1"/>
  <c r="G86"/>
  <c r="E86"/>
  <c r="E85"/>
  <c r="G85" s="1"/>
  <c r="G84"/>
  <c r="E84"/>
  <c r="E83"/>
  <c r="G83" s="1"/>
  <c r="N23" i="5" l="1"/>
  <c r="P33" i="8" s="1"/>
  <c r="M23" i="5"/>
  <c r="O33" i="8" s="1"/>
  <c r="L23" i="5"/>
  <c r="K23"/>
  <c r="M33" i="8" s="1"/>
  <c r="J23" i="5"/>
  <c r="L33" i="8" s="1"/>
  <c r="N21" i="5"/>
  <c r="P31" i="8" s="1"/>
  <c r="M21" i="5"/>
  <c r="O31" i="8" s="1"/>
  <c r="L21" i="5"/>
  <c r="N31" i="8" s="1"/>
  <c r="K21" i="5"/>
  <c r="M31" i="8" s="1"/>
  <c r="J21" i="5"/>
  <c r="L31" i="8" s="1"/>
  <c r="L28"/>
  <c r="M28"/>
  <c r="N28"/>
  <c r="O28"/>
  <c r="P28"/>
  <c r="L29"/>
  <c r="M29"/>
  <c r="N29"/>
  <c r="O29"/>
  <c r="P29"/>
  <c r="L32"/>
  <c r="M32"/>
  <c r="N32"/>
  <c r="O32"/>
  <c r="P32"/>
  <c r="N33"/>
  <c r="L27"/>
  <c r="M27"/>
  <c r="N27"/>
  <c r="O27"/>
  <c r="P27"/>
  <c r="L21"/>
  <c r="M21"/>
  <c r="N21"/>
  <c r="O21"/>
  <c r="P21"/>
  <c r="L19"/>
  <c r="M19"/>
  <c r="N19"/>
  <c r="O19"/>
  <c r="P19"/>
  <c r="L18"/>
  <c r="M18"/>
  <c r="N18"/>
  <c r="O18"/>
  <c r="P18"/>
  <c r="O23" i="11"/>
  <c r="P17" i="8" s="1"/>
  <c r="N23" i="11"/>
  <c r="O17" i="8" s="1"/>
  <c r="M23" i="11"/>
  <c r="N17" i="8" s="1"/>
  <c r="L23" i="11"/>
  <c r="K23"/>
  <c r="L17" i="8" s="1"/>
  <c r="O22" i="11"/>
  <c r="N22"/>
  <c r="M22"/>
  <c r="L22"/>
  <c r="K22"/>
  <c r="O21"/>
  <c r="P16" i="8" s="1"/>
  <c r="N21" i="11"/>
  <c r="M21"/>
  <c r="N16" i="8" s="1"/>
  <c r="L21" i="11"/>
  <c r="M16" i="8" s="1"/>
  <c r="K21" i="11"/>
  <c r="L16" i="8" s="1"/>
  <c r="M17"/>
  <c r="O16"/>
  <c r="L14"/>
  <c r="M14"/>
  <c r="N14"/>
  <c r="O14"/>
  <c r="P14"/>
  <c r="L12"/>
  <c r="M12"/>
  <c r="N12"/>
  <c r="O12"/>
  <c r="P12"/>
  <c r="L11"/>
  <c r="M11"/>
  <c r="N11"/>
  <c r="O11"/>
  <c r="P11"/>
  <c r="B148" i="15"/>
  <c r="D143"/>
  <c r="D142"/>
  <c r="D141"/>
  <c r="D140"/>
  <c r="D139"/>
  <c r="D138"/>
  <c r="D137"/>
  <c r="D136"/>
  <c r="D135"/>
  <c r="D134"/>
  <c r="D133"/>
  <c r="D132"/>
  <c r="D131"/>
  <c r="D130"/>
  <c r="B123"/>
  <c r="D118"/>
  <c r="D117"/>
  <c r="D116"/>
  <c r="D115"/>
  <c r="D114"/>
  <c r="D113"/>
  <c r="D112"/>
  <c r="D111"/>
  <c r="D110"/>
  <c r="D109"/>
  <c r="D108"/>
  <c r="D107"/>
  <c r="D106"/>
  <c r="D105"/>
  <c r="B98"/>
  <c r="D93"/>
  <c r="D92"/>
  <c r="D91"/>
  <c r="D90"/>
  <c r="D89"/>
  <c r="D88"/>
  <c r="D87"/>
  <c r="D86"/>
  <c r="D85"/>
  <c r="D84"/>
  <c r="D83"/>
  <c r="D82"/>
  <c r="D81"/>
  <c r="D80"/>
  <c r="B73"/>
  <c r="D68"/>
  <c r="D67"/>
  <c r="D66"/>
  <c r="D65"/>
  <c r="D64"/>
  <c r="D63"/>
  <c r="D62"/>
  <c r="D61"/>
  <c r="D60"/>
  <c r="D59"/>
  <c r="D58"/>
  <c r="D57"/>
  <c r="D56"/>
  <c r="D55"/>
  <c r="B71" s="1"/>
  <c r="B75" s="1"/>
  <c r="B48"/>
  <c r="D43"/>
  <c r="D42"/>
  <c r="D41"/>
  <c r="D40"/>
  <c r="D39"/>
  <c r="D38"/>
  <c r="D37"/>
  <c r="D36"/>
  <c r="D35"/>
  <c r="D34"/>
  <c r="D33"/>
  <c r="D32"/>
  <c r="D31"/>
  <c r="D30"/>
  <c r="B23"/>
  <c r="D18"/>
  <c r="D17"/>
  <c r="D16"/>
  <c r="D15"/>
  <c r="D14"/>
  <c r="D13"/>
  <c r="D12"/>
  <c r="D11"/>
  <c r="D10"/>
  <c r="D9"/>
  <c r="D8"/>
  <c r="D7"/>
  <c r="D6"/>
  <c r="D5"/>
  <c r="B46" l="1"/>
  <c r="B50" s="1"/>
  <c r="B146"/>
  <c r="B150" s="1"/>
  <c r="B21"/>
  <c r="B25" s="1"/>
  <c r="B96"/>
  <c r="B100" s="1"/>
  <c r="B121"/>
  <c r="B125" s="1"/>
  <c r="M6" i="10"/>
  <c r="K6"/>
  <c r="H6"/>
  <c r="F6"/>
  <c r="D8" i="5"/>
  <c r="E8"/>
  <c r="F8"/>
  <c r="G8"/>
  <c r="H8"/>
  <c r="I8"/>
  <c r="J8"/>
  <c r="K8"/>
  <c r="L8"/>
  <c r="M8"/>
  <c r="N8"/>
  <c r="C8"/>
  <c r="C8" i="14" l="1"/>
  <c r="J35" i="3"/>
  <c r="J34"/>
  <c r="AK86" i="4"/>
  <c r="G73"/>
  <c r="G26"/>
  <c r="G50"/>
  <c r="E6" i="10"/>
  <c r="G6"/>
  <c r="I6"/>
  <c r="J6"/>
  <c r="L6"/>
  <c r="N6"/>
  <c r="O17"/>
  <c r="J36" i="3" l="1"/>
  <c r="O34" i="10"/>
  <c r="O35"/>
  <c r="O36"/>
  <c r="O37"/>
  <c r="O38"/>
  <c r="O39"/>
  <c r="O40"/>
  <c r="O41"/>
  <c r="O33"/>
  <c r="O24"/>
  <c r="O25"/>
  <c r="O26"/>
  <c r="O27"/>
  <c r="O28"/>
  <c r="O29"/>
  <c r="O30"/>
  <c r="O31"/>
  <c r="O23"/>
  <c r="D28" i="5"/>
  <c r="E28"/>
  <c r="F28"/>
  <c r="G28"/>
  <c r="H28"/>
  <c r="I28"/>
  <c r="J28"/>
  <c r="K28"/>
  <c r="L28"/>
  <c r="M28"/>
  <c r="N28"/>
  <c r="D29"/>
  <c r="E29"/>
  <c r="F29"/>
  <c r="G29"/>
  <c r="H29"/>
  <c r="I29"/>
  <c r="J29"/>
  <c r="K29"/>
  <c r="L29"/>
  <c r="M29"/>
  <c r="N29"/>
  <c r="D30"/>
  <c r="E30"/>
  <c r="F30"/>
  <c r="G30"/>
  <c r="H30"/>
  <c r="I30"/>
  <c r="J30"/>
  <c r="K30"/>
  <c r="L30"/>
  <c r="M30"/>
  <c r="N30"/>
  <c r="D31"/>
  <c r="E31"/>
  <c r="F31"/>
  <c r="G31"/>
  <c r="H31"/>
  <c r="I31"/>
  <c r="J31"/>
  <c r="K31"/>
  <c r="L31"/>
  <c r="M31"/>
  <c r="N31"/>
  <c r="D32"/>
  <c r="E32"/>
  <c r="F32"/>
  <c r="G32"/>
  <c r="H32"/>
  <c r="I32"/>
  <c r="J32"/>
  <c r="K32"/>
  <c r="L32"/>
  <c r="M32"/>
  <c r="N32"/>
  <c r="D33"/>
  <c r="E33"/>
  <c r="F33"/>
  <c r="G33"/>
  <c r="H33"/>
  <c r="I33"/>
  <c r="J33"/>
  <c r="K33"/>
  <c r="L33"/>
  <c r="M33"/>
  <c r="N33"/>
  <c r="D34"/>
  <c r="E34"/>
  <c r="F34"/>
  <c r="G34"/>
  <c r="H34"/>
  <c r="I34"/>
  <c r="J34"/>
  <c r="K34"/>
  <c r="L34"/>
  <c r="M34"/>
  <c r="N34"/>
  <c r="D35"/>
  <c r="E35"/>
  <c r="F35"/>
  <c r="G35"/>
  <c r="H35"/>
  <c r="I35"/>
  <c r="J35"/>
  <c r="K35"/>
  <c r="L35"/>
  <c r="M35"/>
  <c r="N35"/>
  <c r="O12" i="10"/>
  <c r="O13"/>
  <c r="O14"/>
  <c r="O15"/>
  <c r="O16"/>
  <c r="O18"/>
  <c r="O19"/>
  <c r="O20"/>
  <c r="O21"/>
  <c r="O11"/>
  <c r="D7" i="5"/>
  <c r="D24" s="1"/>
  <c r="D34" i="8" s="1"/>
  <c r="E7" i="5"/>
  <c r="F7"/>
  <c r="G7"/>
  <c r="H7"/>
  <c r="H24" s="1"/>
  <c r="H34" i="8" s="1"/>
  <c r="I7" i="5"/>
  <c r="J7"/>
  <c r="K7"/>
  <c r="L7"/>
  <c r="M7"/>
  <c r="N7"/>
  <c r="G24"/>
  <c r="G34" i="8" s="1"/>
  <c r="K24" i="5"/>
  <c r="M34" i="8" s="1"/>
  <c r="D9" i="5"/>
  <c r="E9"/>
  <c r="F9"/>
  <c r="G9"/>
  <c r="H9"/>
  <c r="I9"/>
  <c r="J9"/>
  <c r="K9"/>
  <c r="K19" s="1"/>
  <c r="L9"/>
  <c r="M9"/>
  <c r="N9"/>
  <c r="D10"/>
  <c r="E10"/>
  <c r="F10"/>
  <c r="G10"/>
  <c r="H10"/>
  <c r="I10"/>
  <c r="J10"/>
  <c r="K10"/>
  <c r="L10"/>
  <c r="M10"/>
  <c r="N10"/>
  <c r="D11"/>
  <c r="D21" s="1"/>
  <c r="D31" i="8" s="1"/>
  <c r="E11" i="5"/>
  <c r="E21" s="1"/>
  <c r="E31" i="8" s="1"/>
  <c r="F11" i="5"/>
  <c r="F21" s="1"/>
  <c r="F31" i="8" s="1"/>
  <c r="G11" i="5"/>
  <c r="H11"/>
  <c r="I11"/>
  <c r="I21" s="1"/>
  <c r="K31" i="8" s="1"/>
  <c r="J11" i="5"/>
  <c r="K11"/>
  <c r="L11"/>
  <c r="M11"/>
  <c r="M19" s="1"/>
  <c r="N11"/>
  <c r="N18" s="1"/>
  <c r="D12"/>
  <c r="E12"/>
  <c r="F12"/>
  <c r="G12"/>
  <c r="H12"/>
  <c r="I12"/>
  <c r="J12"/>
  <c r="K12"/>
  <c r="L12"/>
  <c r="M12"/>
  <c r="N12"/>
  <c r="D13"/>
  <c r="E13"/>
  <c r="F13"/>
  <c r="G13"/>
  <c r="H13"/>
  <c r="I13"/>
  <c r="J13"/>
  <c r="K13"/>
  <c r="L13"/>
  <c r="M13"/>
  <c r="N13"/>
  <c r="D14"/>
  <c r="E14"/>
  <c r="F14"/>
  <c r="G14"/>
  <c r="H14"/>
  <c r="I14"/>
  <c r="J14"/>
  <c r="K14"/>
  <c r="L14"/>
  <c r="M14"/>
  <c r="N14"/>
  <c r="D15"/>
  <c r="E15"/>
  <c r="F15"/>
  <c r="G15"/>
  <c r="H15"/>
  <c r="I15"/>
  <c r="J15"/>
  <c r="K15"/>
  <c r="L15"/>
  <c r="M15"/>
  <c r="N15"/>
  <c r="D16"/>
  <c r="E16"/>
  <c r="F16"/>
  <c r="G16"/>
  <c r="H16"/>
  <c r="I16"/>
  <c r="J16"/>
  <c r="K16"/>
  <c r="L16"/>
  <c r="M16"/>
  <c r="N16"/>
  <c r="D17"/>
  <c r="E17"/>
  <c r="F17"/>
  <c r="G17"/>
  <c r="H17"/>
  <c r="I17"/>
  <c r="J17"/>
  <c r="K17"/>
  <c r="L17"/>
  <c r="M17"/>
  <c r="N17"/>
  <c r="K18"/>
  <c r="K20"/>
  <c r="M30" i="8" s="1"/>
  <c r="D22" i="5"/>
  <c r="D32" i="8" s="1"/>
  <c r="K22" i="5"/>
  <c r="L22"/>
  <c r="N24"/>
  <c r="P34" i="8" s="1"/>
  <c r="G7" i="4"/>
  <c r="J7"/>
  <c r="M7"/>
  <c r="P7"/>
  <c r="S7"/>
  <c r="V7"/>
  <c r="Y7"/>
  <c r="AB7"/>
  <c r="AE7"/>
  <c r="AH7"/>
  <c r="AK7"/>
  <c r="G8"/>
  <c r="E7" i="11" s="1"/>
  <c r="D11" i="8" s="1"/>
  <c r="J8" i="4"/>
  <c r="F7" i="11" s="1"/>
  <c r="M8" i="4"/>
  <c r="P8"/>
  <c r="H7" i="11" s="1"/>
  <c r="S8" i="4"/>
  <c r="V8"/>
  <c r="Y8"/>
  <c r="K7" i="11" s="1"/>
  <c r="AB8" i="4"/>
  <c r="AE8"/>
  <c r="M7" i="11" s="1"/>
  <c r="AH8" i="4"/>
  <c r="AK8"/>
  <c r="O7" i="11" s="1"/>
  <c r="G9" i="4"/>
  <c r="J9"/>
  <c r="M9"/>
  <c r="P9"/>
  <c r="S9"/>
  <c r="V9"/>
  <c r="Y9"/>
  <c r="AB9"/>
  <c r="AE9"/>
  <c r="AH9"/>
  <c r="AK9"/>
  <c r="G10"/>
  <c r="J10"/>
  <c r="M10"/>
  <c r="P10"/>
  <c r="S10"/>
  <c r="V10"/>
  <c r="Y10"/>
  <c r="AB10"/>
  <c r="AE10"/>
  <c r="AH10"/>
  <c r="AK10"/>
  <c r="G11"/>
  <c r="J11"/>
  <c r="M11"/>
  <c r="P11"/>
  <c r="S11"/>
  <c r="V11"/>
  <c r="Y11"/>
  <c r="AB11"/>
  <c r="AE11"/>
  <c r="AH11"/>
  <c r="AK11"/>
  <c r="G12"/>
  <c r="J12"/>
  <c r="M12"/>
  <c r="P12"/>
  <c r="S12"/>
  <c r="V12"/>
  <c r="Y12"/>
  <c r="AB12"/>
  <c r="AE12"/>
  <c r="AH12"/>
  <c r="AK12"/>
  <c r="E13"/>
  <c r="H13"/>
  <c r="K13"/>
  <c r="N13"/>
  <c r="Q13"/>
  <c r="T13"/>
  <c r="W13"/>
  <c r="Z13"/>
  <c r="AC13"/>
  <c r="AF13"/>
  <c r="AI13"/>
  <c r="G16"/>
  <c r="J16"/>
  <c r="M16"/>
  <c r="P16"/>
  <c r="S16"/>
  <c r="V16"/>
  <c r="Y16"/>
  <c r="AB16"/>
  <c r="AE16"/>
  <c r="AH16"/>
  <c r="AK16"/>
  <c r="G17"/>
  <c r="J17"/>
  <c r="M17"/>
  <c r="P17"/>
  <c r="S17"/>
  <c r="V17"/>
  <c r="Y17"/>
  <c r="AB17"/>
  <c r="AE17"/>
  <c r="AH17"/>
  <c r="AK17"/>
  <c r="G18"/>
  <c r="J18"/>
  <c r="M18"/>
  <c r="P18"/>
  <c r="S18"/>
  <c r="V18"/>
  <c r="Y18"/>
  <c r="AB18"/>
  <c r="AE18"/>
  <c r="AH18"/>
  <c r="AK18"/>
  <c r="G19"/>
  <c r="J19"/>
  <c r="M19"/>
  <c r="P19"/>
  <c r="S19"/>
  <c r="V19"/>
  <c r="Y19"/>
  <c r="AB19"/>
  <c r="AE19"/>
  <c r="AH19"/>
  <c r="AK19"/>
  <c r="G20"/>
  <c r="J20"/>
  <c r="M20"/>
  <c r="P20"/>
  <c r="S20"/>
  <c r="V20"/>
  <c r="Y20"/>
  <c r="AB20"/>
  <c r="AE20"/>
  <c r="AH20"/>
  <c r="AK20"/>
  <c r="G21"/>
  <c r="J21"/>
  <c r="M21"/>
  <c r="P21"/>
  <c r="S21"/>
  <c r="V21"/>
  <c r="Y21"/>
  <c r="AB21"/>
  <c r="AE21"/>
  <c r="AH21"/>
  <c r="AK21"/>
  <c r="G22"/>
  <c r="J22"/>
  <c r="M22"/>
  <c r="P22"/>
  <c r="S22"/>
  <c r="V22"/>
  <c r="Y22"/>
  <c r="AB22"/>
  <c r="AE22"/>
  <c r="AH22"/>
  <c r="AK22"/>
  <c r="G23"/>
  <c r="J23"/>
  <c r="M23"/>
  <c r="P23"/>
  <c r="S23"/>
  <c r="V23"/>
  <c r="Y23"/>
  <c r="AB23"/>
  <c r="AE23"/>
  <c r="AH23"/>
  <c r="AK23"/>
  <c r="G24"/>
  <c r="J24"/>
  <c r="M24"/>
  <c r="P24"/>
  <c r="S24"/>
  <c r="V24"/>
  <c r="Y24"/>
  <c r="AB24"/>
  <c r="AE24"/>
  <c r="AH24"/>
  <c r="AK24"/>
  <c r="G25"/>
  <c r="J25"/>
  <c r="M25"/>
  <c r="P25"/>
  <c r="S25"/>
  <c r="V25"/>
  <c r="Y25"/>
  <c r="AB25"/>
  <c r="AE25"/>
  <c r="AH25"/>
  <c r="AK25"/>
  <c r="J26"/>
  <c r="M26"/>
  <c r="P26"/>
  <c r="S26"/>
  <c r="V26"/>
  <c r="Y26"/>
  <c r="AB26"/>
  <c r="AE26"/>
  <c r="AH26"/>
  <c r="AK26"/>
  <c r="G29"/>
  <c r="J29"/>
  <c r="M29"/>
  <c r="P29"/>
  <c r="S29"/>
  <c r="V29"/>
  <c r="Y29"/>
  <c r="AB29"/>
  <c r="AE29"/>
  <c r="AH29"/>
  <c r="AK29"/>
  <c r="G30"/>
  <c r="J30"/>
  <c r="M30"/>
  <c r="P30"/>
  <c r="S30"/>
  <c r="V30"/>
  <c r="Y30"/>
  <c r="AB30"/>
  <c r="AE30"/>
  <c r="AH30"/>
  <c r="AK30"/>
  <c r="G31"/>
  <c r="J31"/>
  <c r="M31"/>
  <c r="P31"/>
  <c r="S31"/>
  <c r="V31"/>
  <c r="Y31"/>
  <c r="AB31"/>
  <c r="AE31"/>
  <c r="AH31"/>
  <c r="AK31"/>
  <c r="G32"/>
  <c r="J32"/>
  <c r="M32"/>
  <c r="P32"/>
  <c r="S32"/>
  <c r="V32"/>
  <c r="Y32"/>
  <c r="AB32"/>
  <c r="AE32"/>
  <c r="AH32"/>
  <c r="AK32"/>
  <c r="G33"/>
  <c r="J33"/>
  <c r="M33"/>
  <c r="P33"/>
  <c r="S33"/>
  <c r="V33"/>
  <c r="Y33"/>
  <c r="AB33"/>
  <c r="AE33"/>
  <c r="AH33"/>
  <c r="AK33"/>
  <c r="G34"/>
  <c r="J34"/>
  <c r="M34"/>
  <c r="P34"/>
  <c r="S34"/>
  <c r="V34"/>
  <c r="Y34"/>
  <c r="AB34"/>
  <c r="AE34"/>
  <c r="AH34"/>
  <c r="AK34"/>
  <c r="G35"/>
  <c r="J35"/>
  <c r="M35"/>
  <c r="P35"/>
  <c r="S35"/>
  <c r="V35"/>
  <c r="Y35"/>
  <c r="AB35"/>
  <c r="AE35"/>
  <c r="AH35"/>
  <c r="AK35"/>
  <c r="G36"/>
  <c r="J36"/>
  <c r="M36"/>
  <c r="P36"/>
  <c r="S36"/>
  <c r="V36"/>
  <c r="Y36"/>
  <c r="AB36"/>
  <c r="AE36"/>
  <c r="AH36"/>
  <c r="AK36"/>
  <c r="G37"/>
  <c r="J37"/>
  <c r="M37"/>
  <c r="P37"/>
  <c r="S37"/>
  <c r="V37"/>
  <c r="Y37"/>
  <c r="AB37"/>
  <c r="AE37"/>
  <c r="AH37"/>
  <c r="AK37"/>
  <c r="G38"/>
  <c r="J38"/>
  <c r="M38"/>
  <c r="P38"/>
  <c r="S38"/>
  <c r="V38"/>
  <c r="Y38"/>
  <c r="AB38"/>
  <c r="AE38"/>
  <c r="AH38"/>
  <c r="AK38"/>
  <c r="G39"/>
  <c r="J39"/>
  <c r="M39"/>
  <c r="P39"/>
  <c r="S39"/>
  <c r="V39"/>
  <c r="Y39"/>
  <c r="AB39"/>
  <c r="AE39"/>
  <c r="AH39"/>
  <c r="AK39"/>
  <c r="G42"/>
  <c r="J42"/>
  <c r="M42"/>
  <c r="P42"/>
  <c r="S42"/>
  <c r="V42"/>
  <c r="Y42"/>
  <c r="AB42"/>
  <c r="AE42"/>
  <c r="AH42"/>
  <c r="AK42"/>
  <c r="G43"/>
  <c r="J43"/>
  <c r="M43"/>
  <c r="P43"/>
  <c r="S43"/>
  <c r="V43"/>
  <c r="Y43"/>
  <c r="AB43"/>
  <c r="AE43"/>
  <c r="AH43"/>
  <c r="AK43"/>
  <c r="G44"/>
  <c r="J44"/>
  <c r="M44"/>
  <c r="P44"/>
  <c r="S44"/>
  <c r="V44"/>
  <c r="Y44"/>
  <c r="AB44"/>
  <c r="AE44"/>
  <c r="AH44"/>
  <c r="AK44"/>
  <c r="G45"/>
  <c r="J45"/>
  <c r="M45"/>
  <c r="P45"/>
  <c r="S45"/>
  <c r="V45"/>
  <c r="Y45"/>
  <c r="AB45"/>
  <c r="AE45"/>
  <c r="AH45"/>
  <c r="AK45"/>
  <c r="G46"/>
  <c r="J46"/>
  <c r="M46"/>
  <c r="P46"/>
  <c r="S46"/>
  <c r="V46"/>
  <c r="Y46"/>
  <c r="AB46"/>
  <c r="AE46"/>
  <c r="AH46"/>
  <c r="AK46"/>
  <c r="G47"/>
  <c r="J47"/>
  <c r="M47"/>
  <c r="P47"/>
  <c r="S47"/>
  <c r="V47"/>
  <c r="Y47"/>
  <c r="AB47"/>
  <c r="AE47"/>
  <c r="AH47"/>
  <c r="AK47"/>
  <c r="G48"/>
  <c r="J48"/>
  <c r="M48"/>
  <c r="P48"/>
  <c r="S48"/>
  <c r="V48"/>
  <c r="Y48"/>
  <c r="AB48"/>
  <c r="AE48"/>
  <c r="AH48"/>
  <c r="AK48"/>
  <c r="G49"/>
  <c r="J49"/>
  <c r="M49"/>
  <c r="P49"/>
  <c r="S49"/>
  <c r="V49"/>
  <c r="Y49"/>
  <c r="AB49"/>
  <c r="AE49"/>
  <c r="AH49"/>
  <c r="AK49"/>
  <c r="J50"/>
  <c r="M50"/>
  <c r="P50"/>
  <c r="S50"/>
  <c r="V50"/>
  <c r="Y50"/>
  <c r="AB50"/>
  <c r="AE50"/>
  <c r="AH50"/>
  <c r="AK50"/>
  <c r="G51"/>
  <c r="J51"/>
  <c r="M51"/>
  <c r="P51"/>
  <c r="S51"/>
  <c r="V51"/>
  <c r="Y51"/>
  <c r="AB51"/>
  <c r="AE51"/>
  <c r="AH51"/>
  <c r="AK51"/>
  <c r="G54"/>
  <c r="J54"/>
  <c r="M54"/>
  <c r="P54"/>
  <c r="S54"/>
  <c r="V54"/>
  <c r="Y54"/>
  <c r="AB54"/>
  <c r="AE54"/>
  <c r="AH54"/>
  <c r="AK54"/>
  <c r="G55"/>
  <c r="J55"/>
  <c r="M55"/>
  <c r="P55"/>
  <c r="S55"/>
  <c r="V55"/>
  <c r="Y55"/>
  <c r="AB55"/>
  <c r="AE55"/>
  <c r="AH55"/>
  <c r="AK55"/>
  <c r="G56"/>
  <c r="J56"/>
  <c r="M56"/>
  <c r="P56"/>
  <c r="S56"/>
  <c r="V56"/>
  <c r="Y56"/>
  <c r="AB56"/>
  <c r="AE56"/>
  <c r="AH56"/>
  <c r="AK56"/>
  <c r="G57"/>
  <c r="J57"/>
  <c r="M57"/>
  <c r="P57"/>
  <c r="S57"/>
  <c r="V57"/>
  <c r="Y57"/>
  <c r="AB57"/>
  <c r="AE57"/>
  <c r="AH57"/>
  <c r="AK57"/>
  <c r="G58"/>
  <c r="J58"/>
  <c r="M58"/>
  <c r="P58"/>
  <c r="S58"/>
  <c r="V58"/>
  <c r="Y58"/>
  <c r="AB58"/>
  <c r="AE58"/>
  <c r="AH58"/>
  <c r="AK58"/>
  <c r="G59"/>
  <c r="J59"/>
  <c r="M59"/>
  <c r="P59"/>
  <c r="S59"/>
  <c r="V59"/>
  <c r="Y59"/>
  <c r="AB59"/>
  <c r="AE59"/>
  <c r="AH59"/>
  <c r="AK59"/>
  <c r="G62"/>
  <c r="J62"/>
  <c r="M62"/>
  <c r="P62"/>
  <c r="S62"/>
  <c r="V62"/>
  <c r="Y62"/>
  <c r="AB62"/>
  <c r="AE62"/>
  <c r="AH62"/>
  <c r="AK62"/>
  <c r="G63"/>
  <c r="J63"/>
  <c r="M63"/>
  <c r="P63"/>
  <c r="S63"/>
  <c r="V63"/>
  <c r="Y63"/>
  <c r="AB63"/>
  <c r="AE63"/>
  <c r="AH63"/>
  <c r="AK63"/>
  <c r="G64"/>
  <c r="J64"/>
  <c r="M64"/>
  <c r="P64"/>
  <c r="S64"/>
  <c r="V64"/>
  <c r="Y64"/>
  <c r="AB64"/>
  <c r="AE64"/>
  <c r="AH64"/>
  <c r="AK64"/>
  <c r="G65"/>
  <c r="J65"/>
  <c r="M65"/>
  <c r="P65"/>
  <c r="S65"/>
  <c r="V65"/>
  <c r="Y65"/>
  <c r="AB65"/>
  <c r="AE65"/>
  <c r="AH65"/>
  <c r="AK65"/>
  <c r="G66"/>
  <c r="J66"/>
  <c r="M66"/>
  <c r="P66"/>
  <c r="S66"/>
  <c r="V66"/>
  <c r="Y66"/>
  <c r="AB66"/>
  <c r="AE66"/>
  <c r="AH66"/>
  <c r="AK66"/>
  <c r="G67"/>
  <c r="J67"/>
  <c r="M67"/>
  <c r="P67"/>
  <c r="S67"/>
  <c r="V67"/>
  <c r="Y67"/>
  <c r="AB67"/>
  <c r="AE67"/>
  <c r="AH67"/>
  <c r="AK67"/>
  <c r="G68"/>
  <c r="J68"/>
  <c r="M68"/>
  <c r="P68"/>
  <c r="S68"/>
  <c r="V68"/>
  <c r="Y68"/>
  <c r="AB68"/>
  <c r="AE68"/>
  <c r="AH68"/>
  <c r="AK68"/>
  <c r="G69"/>
  <c r="J69"/>
  <c r="M69"/>
  <c r="P69"/>
  <c r="S69"/>
  <c r="V69"/>
  <c r="Y69"/>
  <c r="AB69"/>
  <c r="AE69"/>
  <c r="AH69"/>
  <c r="AK69"/>
  <c r="G70"/>
  <c r="J70"/>
  <c r="M70"/>
  <c r="P70"/>
  <c r="S70"/>
  <c r="V70"/>
  <c r="Y70"/>
  <c r="AB70"/>
  <c r="AE70"/>
  <c r="AH70"/>
  <c r="AK70"/>
  <c r="G71"/>
  <c r="J71"/>
  <c r="M71"/>
  <c r="P71"/>
  <c r="S71"/>
  <c r="V71"/>
  <c r="Y71"/>
  <c r="AB71"/>
  <c r="AE71"/>
  <c r="AH71"/>
  <c r="AK71"/>
  <c r="G72"/>
  <c r="J72"/>
  <c r="M72"/>
  <c r="P72"/>
  <c r="S72"/>
  <c r="V72"/>
  <c r="Y72"/>
  <c r="AB72"/>
  <c r="AE72"/>
  <c r="AH72"/>
  <c r="AK72"/>
  <c r="J73"/>
  <c r="M73"/>
  <c r="P73"/>
  <c r="S73"/>
  <c r="V73"/>
  <c r="Y73"/>
  <c r="AB73"/>
  <c r="AE73"/>
  <c r="AH73"/>
  <c r="AK73"/>
  <c r="G76"/>
  <c r="J76"/>
  <c r="M76"/>
  <c r="P76"/>
  <c r="S76"/>
  <c r="V76"/>
  <c r="Y76"/>
  <c r="AB76"/>
  <c r="AE76"/>
  <c r="AH76"/>
  <c r="AK76"/>
  <c r="G77"/>
  <c r="J77"/>
  <c r="M77"/>
  <c r="P77"/>
  <c r="S77"/>
  <c r="V77"/>
  <c r="Y77"/>
  <c r="AB77"/>
  <c r="AE77"/>
  <c r="AH77"/>
  <c r="AK77"/>
  <c r="G78"/>
  <c r="J78"/>
  <c r="M78"/>
  <c r="P78"/>
  <c r="S78"/>
  <c r="V78"/>
  <c r="Y78"/>
  <c r="AB78"/>
  <c r="AE78"/>
  <c r="AH78"/>
  <c r="AK78"/>
  <c r="G79"/>
  <c r="J79"/>
  <c r="M79"/>
  <c r="P79"/>
  <c r="S79"/>
  <c r="V79"/>
  <c r="Y79"/>
  <c r="AB79"/>
  <c r="AE79"/>
  <c r="AH79"/>
  <c r="AK79"/>
  <c r="G82"/>
  <c r="J82"/>
  <c r="M82"/>
  <c r="P82"/>
  <c r="S82"/>
  <c r="V82"/>
  <c r="Y82"/>
  <c r="AB82"/>
  <c r="AE82"/>
  <c r="AH82"/>
  <c r="AK82"/>
  <c r="G83"/>
  <c r="J83"/>
  <c r="M83"/>
  <c r="P83"/>
  <c r="S83"/>
  <c r="V83"/>
  <c r="Y83"/>
  <c r="AB83"/>
  <c r="AE83"/>
  <c r="AH83"/>
  <c r="AK83"/>
  <c r="G84"/>
  <c r="J84"/>
  <c r="M84"/>
  <c r="P84"/>
  <c r="S84"/>
  <c r="V84"/>
  <c r="Y84"/>
  <c r="AB84"/>
  <c r="AE84"/>
  <c r="AH84"/>
  <c r="AK84"/>
  <c r="G85"/>
  <c r="J85"/>
  <c r="M85"/>
  <c r="P85"/>
  <c r="S85"/>
  <c r="V85"/>
  <c r="Y85"/>
  <c r="AB85"/>
  <c r="AE85"/>
  <c r="AH85"/>
  <c r="AK85"/>
  <c r="G86"/>
  <c r="J86"/>
  <c r="M86"/>
  <c r="P86"/>
  <c r="S86"/>
  <c r="V86"/>
  <c r="Y86"/>
  <c r="AB86"/>
  <c r="AE86"/>
  <c r="AH86"/>
  <c r="G89"/>
  <c r="J89"/>
  <c r="M89"/>
  <c r="P89"/>
  <c r="S89"/>
  <c r="V89"/>
  <c r="Y89"/>
  <c r="AB89"/>
  <c r="AE89"/>
  <c r="AH89"/>
  <c r="AK89"/>
  <c r="G90"/>
  <c r="J90"/>
  <c r="M90"/>
  <c r="P90"/>
  <c r="S90"/>
  <c r="V90"/>
  <c r="Y90"/>
  <c r="AB90"/>
  <c r="AE90"/>
  <c r="AH90"/>
  <c r="AK90"/>
  <c r="G91"/>
  <c r="J91"/>
  <c r="M91"/>
  <c r="P91"/>
  <c r="S91"/>
  <c r="V91"/>
  <c r="Y91"/>
  <c r="AB91"/>
  <c r="AE91"/>
  <c r="AH91"/>
  <c r="AK91"/>
  <c r="G94"/>
  <c r="J94"/>
  <c r="M94"/>
  <c r="P94"/>
  <c r="S94"/>
  <c r="V94"/>
  <c r="Y94"/>
  <c r="AB94"/>
  <c r="AE94"/>
  <c r="AH94"/>
  <c r="AK94"/>
  <c r="D43"/>
  <c r="D44"/>
  <c r="D45"/>
  <c r="D46"/>
  <c r="D47"/>
  <c r="D48"/>
  <c r="D49"/>
  <c r="D50"/>
  <c r="D30"/>
  <c r="D9"/>
  <c r="C28" i="5"/>
  <c r="C29"/>
  <c r="C30"/>
  <c r="C31"/>
  <c r="C31" i="14" s="1"/>
  <c r="C32" i="5"/>
  <c r="C33"/>
  <c r="C34"/>
  <c r="C35"/>
  <c r="D37" i="4"/>
  <c r="D38"/>
  <c r="I23" i="5" l="1"/>
  <c r="K33" i="8" s="1"/>
  <c r="K27"/>
  <c r="H27"/>
  <c r="H23" i="5"/>
  <c r="H33" i="8" s="1"/>
  <c r="H22" i="5"/>
  <c r="H32" i="8" s="1"/>
  <c r="H21" i="5"/>
  <c r="H31" i="8" s="1"/>
  <c r="G22" i="5"/>
  <c r="G32" i="8" s="1"/>
  <c r="G21" i="5"/>
  <c r="G31" i="8" s="1"/>
  <c r="G23" i="5"/>
  <c r="G33" i="8" s="1"/>
  <c r="G27"/>
  <c r="H22" i="11"/>
  <c r="H21"/>
  <c r="G16" i="8" s="1"/>
  <c r="G11"/>
  <c r="F23" i="5"/>
  <c r="F33" i="8" s="1"/>
  <c r="F27"/>
  <c r="E22" i="5"/>
  <c r="E32" i="8" s="1"/>
  <c r="E23" i="5"/>
  <c r="E33" i="8" s="1"/>
  <c r="E27"/>
  <c r="F22" i="11"/>
  <c r="E11" i="8"/>
  <c r="F21" i="11"/>
  <c r="E16" i="8" s="1"/>
  <c r="G13" i="4"/>
  <c r="D23" i="5"/>
  <c r="D33" i="8" s="1"/>
  <c r="D27"/>
  <c r="E21" i="11"/>
  <c r="D16" i="8" s="1"/>
  <c r="E22" i="11"/>
  <c r="AK95" i="4"/>
  <c r="O9" i="11" s="1"/>
  <c r="AE13" i="4"/>
  <c r="F96"/>
  <c r="G96" s="1"/>
  <c r="E37" i="11" s="1"/>
  <c r="AD96" i="4"/>
  <c r="AE96" s="1"/>
  <c r="R96"/>
  <c r="S96" s="1"/>
  <c r="O96"/>
  <c r="AA96"/>
  <c r="AB96" s="1"/>
  <c r="L37" i="11" s="1"/>
  <c r="C96" i="4"/>
  <c r="L96"/>
  <c r="AJ96"/>
  <c r="AK96" s="1"/>
  <c r="X96"/>
  <c r="Y96" s="1"/>
  <c r="I96"/>
  <c r="J96" s="1"/>
  <c r="AG96"/>
  <c r="AH96" s="1"/>
  <c r="U96"/>
  <c r="M18" i="5"/>
  <c r="E18"/>
  <c r="E28" i="8" s="1"/>
  <c r="L19" i="5"/>
  <c r="H19"/>
  <c r="H29" i="8" s="1"/>
  <c r="D19" i="5"/>
  <c r="D29" i="8" s="1"/>
  <c r="M22" i="5"/>
  <c r="AK13" i="4"/>
  <c r="AK40"/>
  <c r="AH40"/>
  <c r="AE40"/>
  <c r="AB40"/>
  <c r="Y40"/>
  <c r="V40"/>
  <c r="S40"/>
  <c r="P40"/>
  <c r="M40"/>
  <c r="J40"/>
  <c r="G40"/>
  <c r="L24" i="5"/>
  <c r="N34" i="8" s="1"/>
  <c r="O37" i="11"/>
  <c r="N37"/>
  <c r="M13" i="4"/>
  <c r="N22" i="5"/>
  <c r="P96" i="4"/>
  <c r="AK87"/>
  <c r="G19" i="5"/>
  <c r="G29" i="8" s="1"/>
  <c r="M96" i="4"/>
  <c r="AB92"/>
  <c r="AH80"/>
  <c r="V80"/>
  <c r="AH13"/>
  <c r="V13"/>
  <c r="S13"/>
  <c r="AB13"/>
  <c r="P13"/>
  <c r="L18" i="5"/>
  <c r="V96" i="4"/>
  <c r="E19" i="5"/>
  <c r="E29" i="8" s="1"/>
  <c r="J18" i="5"/>
  <c r="J22"/>
  <c r="Y95" i="4"/>
  <c r="K9" i="11" s="1"/>
  <c r="Y13" i="4"/>
  <c r="I19" i="5"/>
  <c r="K29" i="8" s="1"/>
  <c r="I22" i="5"/>
  <c r="K32" i="8" s="1"/>
  <c r="I18" i="5"/>
  <c r="K28" i="8" s="1"/>
  <c r="C35" i="14"/>
  <c r="H18" i="5"/>
  <c r="H28" i="8" s="1"/>
  <c r="G18" i="5"/>
  <c r="G28" i="8" s="1"/>
  <c r="P92" i="4"/>
  <c r="F18" i="5"/>
  <c r="F28" i="8" s="1"/>
  <c r="F22" i="5"/>
  <c r="F32" i="8" s="1"/>
  <c r="F24" i="5"/>
  <c r="F34" i="8" s="1"/>
  <c r="M95" i="4"/>
  <c r="G9" i="11" s="1"/>
  <c r="J80" i="4"/>
  <c r="J13"/>
  <c r="G74"/>
  <c r="G52"/>
  <c r="E23" i="11" s="1"/>
  <c r="D17" i="8" s="1"/>
  <c r="J87" i="4"/>
  <c r="S74"/>
  <c r="AK60"/>
  <c r="P52"/>
  <c r="H23" i="11" s="1"/>
  <c r="G17" i="8" s="1"/>
  <c r="P27" i="4"/>
  <c r="C30" i="14"/>
  <c r="O12" i="11"/>
  <c r="O24" s="1"/>
  <c r="V95" i="4"/>
  <c r="C33" i="14"/>
  <c r="C29"/>
  <c r="AE95" i="4"/>
  <c r="S95"/>
  <c r="G95"/>
  <c r="AH92"/>
  <c r="V92"/>
  <c r="J92"/>
  <c r="AB87"/>
  <c r="P87"/>
  <c r="AB80"/>
  <c r="P80"/>
  <c r="AK74"/>
  <c r="Y74"/>
  <c r="M74"/>
  <c r="AE60"/>
  <c r="S60"/>
  <c r="G60"/>
  <c r="AH52"/>
  <c r="V52"/>
  <c r="J52"/>
  <c r="F23" i="11" s="1"/>
  <c r="E17" i="8" s="1"/>
  <c r="AH27" i="4"/>
  <c r="V27"/>
  <c r="J27"/>
  <c r="J24" i="5"/>
  <c r="L34" i="8" s="1"/>
  <c r="N19" i="5"/>
  <c r="J19"/>
  <c r="F19"/>
  <c r="F29" i="8" s="1"/>
  <c r="M20" i="5"/>
  <c r="O30" i="8" s="1"/>
  <c r="I20" i="5"/>
  <c r="K30" i="8" s="1"/>
  <c r="E20" i="5"/>
  <c r="E30" i="8" s="1"/>
  <c r="AH87" i="4"/>
  <c r="M60"/>
  <c r="AB27"/>
  <c r="C32" i="14"/>
  <c r="C28"/>
  <c r="AB95" i="4"/>
  <c r="P95"/>
  <c r="AE92"/>
  <c r="S92"/>
  <c r="G92"/>
  <c r="Y87"/>
  <c r="M87"/>
  <c r="AK80"/>
  <c r="Y80"/>
  <c r="M80"/>
  <c r="AH74"/>
  <c r="V74"/>
  <c r="J74"/>
  <c r="AB60"/>
  <c r="P60"/>
  <c r="AE52"/>
  <c r="S52"/>
  <c r="AE27"/>
  <c r="S27"/>
  <c r="G27"/>
  <c r="V87"/>
  <c r="AE74"/>
  <c r="Y60"/>
  <c r="AB52"/>
  <c r="C34" i="14"/>
  <c r="AH95" i="4"/>
  <c r="J95"/>
  <c r="AK92"/>
  <c r="Y92"/>
  <c r="M92"/>
  <c r="AE87"/>
  <c r="S87"/>
  <c r="G87"/>
  <c r="AE80"/>
  <c r="S80"/>
  <c r="G80"/>
  <c r="AB74"/>
  <c r="P74"/>
  <c r="AH60"/>
  <c r="V60"/>
  <c r="J60"/>
  <c r="AK52"/>
  <c r="Y52"/>
  <c r="M52"/>
  <c r="AK27"/>
  <c r="Y27"/>
  <c r="M27"/>
  <c r="G20" i="5"/>
  <c r="G30" i="8" s="1"/>
  <c r="M24" i="5"/>
  <c r="O34" i="8" s="1"/>
  <c r="I24" i="5"/>
  <c r="K34" i="8" s="1"/>
  <c r="E24" i="5"/>
  <c r="E34" i="8" s="1"/>
  <c r="H8" i="11"/>
  <c r="F8"/>
  <c r="O8"/>
  <c r="M8"/>
  <c r="K8"/>
  <c r="E8"/>
  <c r="N7"/>
  <c r="L7"/>
  <c r="J7"/>
  <c r="G7"/>
  <c r="I7"/>
  <c r="D18" i="5"/>
  <c r="D28" i="8" s="1"/>
  <c r="N20" i="5"/>
  <c r="P30" i="8" s="1"/>
  <c r="L20" i="5"/>
  <c r="N30" i="8" s="1"/>
  <c r="J20" i="5"/>
  <c r="L30" i="8" s="1"/>
  <c r="H20" i="5"/>
  <c r="H30" i="8" s="1"/>
  <c r="F20" i="5"/>
  <c r="F30" i="8" s="1"/>
  <c r="D20" i="5"/>
  <c r="D30" i="8" s="1"/>
  <c r="C9" i="5"/>
  <c r="C9" i="14" s="1"/>
  <c r="J7" i="1"/>
  <c r="J6"/>
  <c r="J5"/>
  <c r="B74" i="3"/>
  <c r="B76" s="1"/>
  <c r="H63"/>
  <c r="G61"/>
  <c r="F61"/>
  <c r="E61"/>
  <c r="D61"/>
  <c r="C61"/>
  <c r="B61"/>
  <c r="F57"/>
  <c r="E57"/>
  <c r="D57"/>
  <c r="C57"/>
  <c r="B57"/>
  <c r="I56"/>
  <c r="G56"/>
  <c r="J56" s="1"/>
  <c r="J55"/>
  <c r="I55"/>
  <c r="J54"/>
  <c r="I54"/>
  <c r="J53"/>
  <c r="I53"/>
  <c r="J52"/>
  <c r="I52"/>
  <c r="J51"/>
  <c r="I51"/>
  <c r="J50"/>
  <c r="I50"/>
  <c r="J49"/>
  <c r="I49"/>
  <c r="J48"/>
  <c r="I48"/>
  <c r="K11" i="8" l="1"/>
  <c r="J23" i="11"/>
  <c r="K17" i="8" s="1"/>
  <c r="J21" i="11"/>
  <c r="K16" i="8" s="1"/>
  <c r="J22" i="11"/>
  <c r="I21"/>
  <c r="H16" i="8" s="1"/>
  <c r="I22" i="11"/>
  <c r="I23"/>
  <c r="H17" i="8" s="1"/>
  <c r="H11"/>
  <c r="G23" i="11"/>
  <c r="F17" i="8" s="1"/>
  <c r="G22" i="11"/>
  <c r="G21"/>
  <c r="F16" i="8" s="1"/>
  <c r="F11"/>
  <c r="K56" i="3"/>
  <c r="K55"/>
  <c r="K49"/>
  <c r="K51"/>
  <c r="K53"/>
  <c r="K48"/>
  <c r="K52"/>
  <c r="K50"/>
  <c r="K54"/>
  <c r="F37" i="11"/>
  <c r="G37"/>
  <c r="H37"/>
  <c r="M37"/>
  <c r="K37"/>
  <c r="J37"/>
  <c r="I37"/>
  <c r="O29"/>
  <c r="O25"/>
  <c r="O15"/>
  <c r="O18" s="1"/>
  <c r="K12"/>
  <c r="G12"/>
  <c r="B62" i="3"/>
  <c r="N9" i="11"/>
  <c r="N12"/>
  <c r="N24" s="1"/>
  <c r="O27"/>
  <c r="P20" i="8" s="1"/>
  <c r="H9" i="11"/>
  <c r="H12"/>
  <c r="O26"/>
  <c r="F9"/>
  <c r="F12"/>
  <c r="L9"/>
  <c r="L12"/>
  <c r="E9"/>
  <c r="E12"/>
  <c r="D12" i="8" s="1"/>
  <c r="J9" i="11"/>
  <c r="J12"/>
  <c r="I9"/>
  <c r="I12"/>
  <c r="O28"/>
  <c r="M9"/>
  <c r="M12"/>
  <c r="G8"/>
  <c r="J8"/>
  <c r="L8"/>
  <c r="N8"/>
  <c r="I8"/>
  <c r="B70" i="3"/>
  <c r="B72" s="1"/>
  <c r="J9" s="1"/>
  <c r="G57"/>
  <c r="G62" s="1"/>
  <c r="J57"/>
  <c r="I57"/>
  <c r="D96" i="4"/>
  <c r="D94"/>
  <c r="D90"/>
  <c r="D91"/>
  <c r="D89"/>
  <c r="D83"/>
  <c r="D84"/>
  <c r="D85"/>
  <c r="D86"/>
  <c r="D82"/>
  <c r="D77"/>
  <c r="D78"/>
  <c r="D79"/>
  <c r="D76"/>
  <c r="D63"/>
  <c r="D64"/>
  <c r="D65"/>
  <c r="D66"/>
  <c r="D67"/>
  <c r="D68"/>
  <c r="D69"/>
  <c r="D70"/>
  <c r="D71"/>
  <c r="D72"/>
  <c r="D73"/>
  <c r="D62"/>
  <c r="D55"/>
  <c r="D56"/>
  <c r="D57"/>
  <c r="D58"/>
  <c r="D59"/>
  <c r="D54"/>
  <c r="D51"/>
  <c r="D42"/>
  <c r="D31"/>
  <c r="D32"/>
  <c r="D33"/>
  <c r="D34"/>
  <c r="D35"/>
  <c r="D36"/>
  <c r="D39"/>
  <c r="D29"/>
  <c r="D17"/>
  <c r="D18"/>
  <c r="D19"/>
  <c r="D20"/>
  <c r="D21"/>
  <c r="D22"/>
  <c r="D23"/>
  <c r="D24"/>
  <c r="D25"/>
  <c r="D26"/>
  <c r="D16"/>
  <c r="D8"/>
  <c r="D10"/>
  <c r="D11"/>
  <c r="D12"/>
  <c r="D7"/>
  <c r="D24" i="3"/>
  <c r="B24"/>
  <c r="J24" i="11" l="1"/>
  <c r="K18" i="8" s="1"/>
  <c r="K12"/>
  <c r="I24" i="11"/>
  <c r="H18" i="8" s="1"/>
  <c r="H12"/>
  <c r="H24" i="11"/>
  <c r="G18" i="8" s="1"/>
  <c r="G12"/>
  <c r="G24" i="11"/>
  <c r="G27" s="1"/>
  <c r="F20" i="8" s="1"/>
  <c r="F12"/>
  <c r="F24" i="11"/>
  <c r="E18" i="8" s="1"/>
  <c r="E12"/>
  <c r="D40" i="4"/>
  <c r="K57" i="3"/>
  <c r="K24" i="11"/>
  <c r="K15"/>
  <c r="K18" s="1"/>
  <c r="G15"/>
  <c r="D52" i="4"/>
  <c r="D27"/>
  <c r="D92"/>
  <c r="I15" i="11"/>
  <c r="E24"/>
  <c r="D18" i="8" s="1"/>
  <c r="E15" i="11"/>
  <c r="F15"/>
  <c r="H15"/>
  <c r="J25"/>
  <c r="K19" i="8" s="1"/>
  <c r="D60" i="4"/>
  <c r="M24" i="11"/>
  <c r="M15"/>
  <c r="M18" s="1"/>
  <c r="N15"/>
  <c r="N18" s="1"/>
  <c r="J15"/>
  <c r="L15"/>
  <c r="L18" s="1"/>
  <c r="L24"/>
  <c r="D74" i="4"/>
  <c r="D80"/>
  <c r="D87"/>
  <c r="D95"/>
  <c r="J27" i="11"/>
  <c r="K20" i="8" s="1"/>
  <c r="N29" i="11"/>
  <c r="N27"/>
  <c r="O20" i="8" s="1"/>
  <c r="N28" i="11"/>
  <c r="N25"/>
  <c r="N26"/>
  <c r="I28"/>
  <c r="H21" i="8" s="1"/>
  <c r="B66" i="3"/>
  <c r="B64"/>
  <c r="J20" s="1"/>
  <c r="J28" i="11" l="1"/>
  <c r="K21" i="8" s="1"/>
  <c r="J29" i="11"/>
  <c r="J26"/>
  <c r="J18"/>
  <c r="K14" i="8"/>
  <c r="I27" i="11"/>
  <c r="H20" i="8" s="1"/>
  <c r="I25" i="11"/>
  <c r="H19" i="8" s="1"/>
  <c r="I26" i="11"/>
  <c r="I29"/>
  <c r="I18"/>
  <c r="H14" i="8"/>
  <c r="H18" i="11"/>
  <c r="G14" i="8"/>
  <c r="G28" i="11"/>
  <c r="F21" i="8" s="1"/>
  <c r="F18"/>
  <c r="G26" i="11"/>
  <c r="G25"/>
  <c r="F19" i="8" s="1"/>
  <c r="G29" i="11"/>
  <c r="G18"/>
  <c r="F14" i="8"/>
  <c r="F18" i="11"/>
  <c r="E14" i="8"/>
  <c r="E18" i="11"/>
  <c r="D14" i="8"/>
  <c r="D9" i="11"/>
  <c r="D9" i="13" s="1"/>
  <c r="K29" i="11"/>
  <c r="K28"/>
  <c r="K26"/>
  <c r="K27"/>
  <c r="L20" i="8" s="1"/>
  <c r="K25" i="11"/>
  <c r="L29"/>
  <c r="L25"/>
  <c r="L28"/>
  <c r="L27"/>
  <c r="M20" i="8" s="1"/>
  <c r="M29" i="11"/>
  <c r="M26"/>
  <c r="M27"/>
  <c r="N20" i="8" s="1"/>
  <c r="M28" i="11"/>
  <c r="M25"/>
  <c r="F27"/>
  <c r="E20" i="8" s="1"/>
  <c r="F28" i="11"/>
  <c r="E21" i="8" s="1"/>
  <c r="F25" i="11"/>
  <c r="E19" i="8" s="1"/>
  <c r="F26" i="11"/>
  <c r="F29"/>
  <c r="H28"/>
  <c r="G21" i="8" s="1"/>
  <c r="H25" i="11"/>
  <c r="G19" i="8" s="1"/>
  <c r="H27" i="11"/>
  <c r="G20" i="8" s="1"/>
  <c r="H26" i="11"/>
  <c r="H29"/>
  <c r="E29"/>
  <c r="E27"/>
  <c r="D20" i="8" s="1"/>
  <c r="E25" i="11"/>
  <c r="D19" i="8" s="1"/>
  <c r="E26" i="11"/>
  <c r="E28"/>
  <c r="D21" i="8" s="1"/>
  <c r="L26" i="11"/>
  <c r="D12"/>
  <c r="C17" i="5"/>
  <c r="C17" i="14" s="1"/>
  <c r="C16" i="5"/>
  <c r="C16" i="14" s="1"/>
  <c r="C15" i="5"/>
  <c r="C15" i="14" s="1"/>
  <c r="C14" i="5"/>
  <c r="C14" i="14" s="1"/>
  <c r="C13" i="5"/>
  <c r="C13" i="14" s="1"/>
  <c r="C12" i="5"/>
  <c r="C12" i="14" s="1"/>
  <c r="C11" i="5"/>
  <c r="C10"/>
  <c r="C10" i="14" s="1"/>
  <c r="C7" i="5"/>
  <c r="D37" i="11"/>
  <c r="D40" i="13" s="1"/>
  <c r="D7" i="11"/>
  <c r="C7" i="14" l="1"/>
  <c r="D15" i="13" s="1"/>
  <c r="C27" i="8"/>
  <c r="D12" i="13"/>
  <c r="C12" i="8"/>
  <c r="D22" i="11"/>
  <c r="D21"/>
  <c r="C16" i="8" s="1"/>
  <c r="C11"/>
  <c r="D23" i="11"/>
  <c r="C17" i="8" s="1"/>
  <c r="D24" i="11"/>
  <c r="C18" i="8" s="1"/>
  <c r="C21" i="5"/>
  <c r="C31" i="8" s="1"/>
  <c r="C11" i="14"/>
  <c r="C23"/>
  <c r="C24"/>
  <c r="D15" i="11"/>
  <c r="C14" i="8" s="1"/>
  <c r="D7" i="13"/>
  <c r="D6" s="1"/>
  <c r="D22" s="1"/>
  <c r="C20" i="5"/>
  <c r="C30" i="8" s="1"/>
  <c r="C18" i="5"/>
  <c r="C28" i="8" s="1"/>
  <c r="C24" i="5"/>
  <c r="C34" i="8" s="1"/>
  <c r="C23" i="5"/>
  <c r="C33" i="8" s="1"/>
  <c r="C22" i="5"/>
  <c r="C32" i="8" s="1"/>
  <c r="D8" i="11"/>
  <c r="C19" i="5"/>
  <c r="C29" i="8" s="1"/>
  <c r="C18" i="12"/>
  <c r="D13"/>
  <c r="D12"/>
  <c r="D11"/>
  <c r="D10"/>
  <c r="D9"/>
  <c r="D8"/>
  <c r="O7" i="10"/>
  <c r="O6"/>
  <c r="D13" i="4"/>
  <c r="B13"/>
  <c r="E101" i="3"/>
  <c r="E100"/>
  <c r="E99"/>
  <c r="E98"/>
  <c r="E97"/>
  <c r="E96"/>
  <c r="E95"/>
  <c r="E94"/>
  <c r="G94" s="1"/>
  <c r="E93"/>
  <c r="G93" s="1"/>
  <c r="E92"/>
  <c r="G92" s="1"/>
  <c r="E91"/>
  <c r="G91" s="1"/>
  <c r="C41"/>
  <c r="D41" s="1"/>
  <c r="F41" s="1"/>
  <c r="A41"/>
  <c r="C40"/>
  <c r="D40" s="1"/>
  <c r="F40" s="1"/>
  <c r="A40"/>
  <c r="C39"/>
  <c r="D39" s="1"/>
  <c r="F39" s="1"/>
  <c r="A39"/>
  <c r="C38"/>
  <c r="D38" s="1"/>
  <c r="F38" s="1"/>
  <c r="A38"/>
  <c r="C37"/>
  <c r="D37" s="1"/>
  <c r="F37" s="1"/>
  <c r="A37"/>
  <c r="C36"/>
  <c r="D36" s="1"/>
  <c r="F36" s="1"/>
  <c r="A36"/>
  <c r="C35"/>
  <c r="D35" s="1"/>
  <c r="F35" s="1"/>
  <c r="A35"/>
  <c r="C34"/>
  <c r="D34" s="1"/>
  <c r="F34" s="1"/>
  <c r="A34"/>
  <c r="C33"/>
  <c r="D33" s="1"/>
  <c r="F33" s="1"/>
  <c r="A33"/>
  <c r="C32"/>
  <c r="D32" s="1"/>
  <c r="F32" s="1"/>
  <c r="A32"/>
  <c r="C31"/>
  <c r="D31" s="1"/>
  <c r="F31" s="1"/>
  <c r="A31"/>
  <c r="C30"/>
  <c r="D30" s="1"/>
  <c r="A30"/>
  <c r="E22"/>
  <c r="D22"/>
  <c r="C22"/>
  <c r="B22"/>
  <c r="D18" i="11" l="1"/>
  <c r="C22" i="14"/>
  <c r="C18"/>
  <c r="D21" i="13"/>
  <c r="D23"/>
  <c r="D26" i="11"/>
  <c r="D28"/>
  <c r="C21" i="8" s="1"/>
  <c r="D25" i="11"/>
  <c r="C19" i="8" s="1"/>
  <c r="D27" i="11"/>
  <c r="C20" i="8" s="1"/>
  <c r="D29" i="11"/>
  <c r="C21" i="14"/>
  <c r="C19"/>
  <c r="C20"/>
  <c r="D8" i="13"/>
  <c r="D18" s="1"/>
  <c r="D37"/>
  <c r="D24"/>
  <c r="D7" i="12"/>
  <c r="B25" i="3"/>
  <c r="J18" s="1"/>
  <c r="D14" i="12"/>
  <c r="H4" s="1"/>
  <c r="H5" s="1"/>
  <c r="H7" s="1"/>
  <c r="H10" s="1"/>
  <c r="D23" i="3"/>
  <c r="B23"/>
  <c r="E102"/>
  <c r="J21" s="1"/>
  <c r="C42"/>
  <c r="E133"/>
  <c r="J22" s="1"/>
  <c r="F30"/>
  <c r="F42" s="1"/>
  <c r="D42"/>
  <c r="G133"/>
  <c r="G102"/>
  <c r="J10" s="1"/>
  <c r="D28" i="13" l="1"/>
  <c r="D26"/>
  <c r="D25"/>
  <c r="D29"/>
  <c r="D27"/>
  <c r="H13" i="12"/>
  <c r="H15" s="1"/>
  <c r="H11"/>
  <c r="H14" s="1"/>
  <c r="J19" i="3"/>
  <c r="D38" i="13" s="1"/>
  <c r="J25" i="3" l="1"/>
  <c r="J13"/>
  <c r="J15" l="1"/>
  <c r="O10" i="11"/>
  <c r="O11" s="1"/>
  <c r="K10"/>
  <c r="K11" s="1"/>
  <c r="G10"/>
  <c r="G11" s="1"/>
  <c r="F10"/>
  <c r="F11" s="1"/>
  <c r="N10"/>
  <c r="N11" s="1"/>
  <c r="L10"/>
  <c r="L11" s="1"/>
  <c r="E10"/>
  <c r="E11" s="1"/>
  <c r="H10"/>
  <c r="H11" s="1"/>
  <c r="J10"/>
  <c r="J11" s="1"/>
  <c r="I10"/>
  <c r="I11" s="1"/>
  <c r="M10"/>
  <c r="M11" s="1"/>
  <c r="D10"/>
  <c r="D39" i="13"/>
  <c r="F41" i="11"/>
  <c r="J41"/>
  <c r="N41"/>
  <c r="K41"/>
  <c r="O41"/>
  <c r="H41"/>
  <c r="L41"/>
  <c r="E41"/>
  <c r="D47" i="13"/>
  <c r="G41" i="11"/>
  <c r="I41"/>
  <c r="M41"/>
  <c r="D41"/>
  <c r="J27" i="3"/>
  <c r="D11" i="11" l="1"/>
  <c r="D11" i="13" s="1"/>
  <c r="D10"/>
  <c r="O13" i="11"/>
  <c r="P13" i="8" s="1"/>
  <c r="K13" i="11"/>
  <c r="L13" i="8" s="1"/>
  <c r="G13" i="11"/>
  <c r="F13" i="8" s="1"/>
  <c r="M13" i="11"/>
  <c r="N13" i="8" s="1"/>
  <c r="J13" i="11"/>
  <c r="K13" i="8" s="1"/>
  <c r="I13" i="11"/>
  <c r="H13" i="8" s="1"/>
  <c r="E13" i="11"/>
  <c r="D13" i="8" s="1"/>
  <c r="H13" i="11"/>
  <c r="G13" i="8" s="1"/>
  <c r="L13" i="11"/>
  <c r="M13" i="8" s="1"/>
  <c r="F13" i="11"/>
  <c r="E13" i="8" s="1"/>
  <c r="N13" i="11"/>
  <c r="O13" i="8" s="1"/>
  <c r="D13" i="11"/>
  <c r="D30" l="1"/>
  <c r="C22" i="8" s="1"/>
  <c r="C13"/>
  <c r="H14" i="11"/>
  <c r="H16"/>
  <c r="H30"/>
  <c r="G22" i="8" s="1"/>
  <c r="H39" i="11"/>
  <c r="G23" i="8" s="1"/>
  <c r="F30" i="11"/>
  <c r="E22" i="8" s="1"/>
  <c r="F14" i="11"/>
  <c r="F16"/>
  <c r="F39"/>
  <c r="E23" i="8" s="1"/>
  <c r="I14" i="11"/>
  <c r="I30"/>
  <c r="H22" i="8" s="1"/>
  <c r="I16" i="11"/>
  <c r="I39"/>
  <c r="H23" i="8" s="1"/>
  <c r="K30" i="11"/>
  <c r="L22" i="8" s="1"/>
  <c r="K16" i="11"/>
  <c r="K14"/>
  <c r="K39"/>
  <c r="L23" i="8" s="1"/>
  <c r="L16" i="11"/>
  <c r="L14"/>
  <c r="L30"/>
  <c r="M22" i="8" s="1"/>
  <c r="L39" i="11"/>
  <c r="M23" i="8" s="1"/>
  <c r="J14" i="11"/>
  <c r="J30"/>
  <c r="K22" i="8" s="1"/>
  <c r="J39" i="11"/>
  <c r="K23" i="8" s="1"/>
  <c r="J16" i="11"/>
  <c r="O14"/>
  <c r="O16"/>
  <c r="O39"/>
  <c r="P23" i="8" s="1"/>
  <c r="O30" i="11"/>
  <c r="P22" i="8" s="1"/>
  <c r="D39" i="11"/>
  <c r="C23" i="8" s="1"/>
  <c r="D14" i="11"/>
  <c r="D13" i="13"/>
  <c r="D16" i="11"/>
  <c r="M30"/>
  <c r="N22" i="8" s="1"/>
  <c r="M16" i="11"/>
  <c r="M14"/>
  <c r="M39"/>
  <c r="N23" i="8" s="1"/>
  <c r="D16" i="13"/>
  <c r="D19" s="1"/>
  <c r="D30"/>
  <c r="D45"/>
  <c r="N14" i="11"/>
  <c r="N16"/>
  <c r="N30"/>
  <c r="O22" i="8" s="1"/>
  <c r="N39" i="11"/>
  <c r="O23" i="8" s="1"/>
  <c r="E14" i="11"/>
  <c r="E30"/>
  <c r="D22" i="8" s="1"/>
  <c r="E16" i="11"/>
  <c r="E39"/>
  <c r="D23" i="8" s="1"/>
  <c r="G30" i="11"/>
  <c r="F22" i="8" s="1"/>
  <c r="G14" i="11"/>
  <c r="G16"/>
  <c r="G39"/>
  <c r="F23" i="8" s="1"/>
  <c r="D17" i="13"/>
  <c r="D20" s="1"/>
  <c r="D34"/>
  <c r="D46"/>
  <c r="E19" i="11" l="1"/>
  <c r="D15" i="8"/>
  <c r="M19" i="11"/>
  <c r="N15" i="8"/>
  <c r="H19" i="11"/>
  <c r="G15" i="8"/>
  <c r="N19" i="11"/>
  <c r="O15" i="8"/>
  <c r="L19" i="11"/>
  <c r="M15" i="8"/>
  <c r="G19" i="11"/>
  <c r="F15" i="8"/>
  <c r="O19" i="11"/>
  <c r="P15" i="8"/>
  <c r="K19" i="11"/>
  <c r="L15" i="8"/>
  <c r="D19" i="11"/>
  <c r="C15" i="8"/>
  <c r="J19" i="11"/>
  <c r="K15" i="8"/>
  <c r="I19" i="11"/>
  <c r="H15" i="8"/>
  <c r="F19" i="11"/>
  <c r="E15" i="8"/>
  <c r="G17" i="11"/>
  <c r="G20" s="1"/>
  <c r="G34"/>
  <c r="G40"/>
  <c r="M17"/>
  <c r="M20" s="1"/>
  <c r="M34"/>
  <c r="M40"/>
  <c r="D33"/>
  <c r="D31"/>
  <c r="D32"/>
  <c r="O32"/>
  <c r="O33"/>
  <c r="O31"/>
  <c r="N33"/>
  <c r="N31"/>
  <c r="N32"/>
  <c r="D41" i="13"/>
  <c r="D42"/>
  <c r="D44"/>
  <c r="D31"/>
  <c r="D32"/>
  <c r="D33"/>
  <c r="L31" i="11"/>
  <c r="L33"/>
  <c r="L32"/>
  <c r="K17"/>
  <c r="K20" s="1"/>
  <c r="K34"/>
  <c r="K40"/>
  <c r="H31"/>
  <c r="H33"/>
  <c r="H32"/>
  <c r="D43" i="13"/>
  <c r="D35"/>
  <c r="D36"/>
  <c r="E33" i="11"/>
  <c r="E32"/>
  <c r="E31"/>
  <c r="M33"/>
  <c r="M31"/>
  <c r="M32"/>
  <c r="D14" i="13"/>
  <c r="D40" i="11"/>
  <c r="D34"/>
  <c r="D17"/>
  <c r="D20" s="1"/>
  <c r="J31"/>
  <c r="J32"/>
  <c r="J33"/>
  <c r="L34"/>
  <c r="L40"/>
  <c r="L17"/>
  <c r="L20" s="1"/>
  <c r="I33"/>
  <c r="I31"/>
  <c r="I32"/>
  <c r="F34"/>
  <c r="F17"/>
  <c r="F20" s="1"/>
  <c r="F40"/>
  <c r="G31"/>
  <c r="G33"/>
  <c r="G32"/>
  <c r="E40"/>
  <c r="E34"/>
  <c r="E17"/>
  <c r="E20" s="1"/>
  <c r="N17"/>
  <c r="N20" s="1"/>
  <c r="N34"/>
  <c r="N40"/>
  <c r="O17"/>
  <c r="O20" s="1"/>
  <c r="O40"/>
  <c r="O34"/>
  <c r="J17"/>
  <c r="J20" s="1"/>
  <c r="J40"/>
  <c r="J34"/>
  <c r="K33"/>
  <c r="K32"/>
  <c r="K31"/>
  <c r="I34"/>
  <c r="I17"/>
  <c r="I20" s="1"/>
  <c r="I40"/>
  <c r="F33"/>
  <c r="F32"/>
  <c r="F31"/>
  <c r="H34"/>
  <c r="H17"/>
  <c r="H20" s="1"/>
  <c r="H40"/>
  <c r="N35" l="1"/>
  <c r="N38"/>
  <c r="N36"/>
  <c r="L38"/>
  <c r="L35"/>
  <c r="L36"/>
  <c r="H35"/>
  <c r="H38"/>
  <c r="H36"/>
  <c r="E38"/>
  <c r="E36"/>
  <c r="E35"/>
  <c r="O36"/>
  <c r="O35"/>
  <c r="O38"/>
  <c r="I35"/>
  <c r="I38"/>
  <c r="I36"/>
  <c r="J35"/>
  <c r="J38"/>
  <c r="J36"/>
  <c r="D38"/>
  <c r="D36"/>
  <c r="D35"/>
  <c r="K36"/>
  <c r="K35"/>
  <c r="K38"/>
  <c r="G38"/>
  <c r="G35"/>
  <c r="G36"/>
  <c r="F38"/>
  <c r="F35"/>
  <c r="F36"/>
  <c r="M36"/>
  <c r="M38"/>
  <c r="M35"/>
</calcChain>
</file>

<file path=xl/sharedStrings.xml><?xml version="1.0" encoding="utf-8"?>
<sst xmlns="http://schemas.openxmlformats.org/spreadsheetml/2006/main" count="1423" uniqueCount="477">
  <si>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</si>
  <si>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</si>
  <si>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</si>
  <si>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</si>
  <si>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</si>
  <si>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</si>
  <si>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</si>
  <si>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</si>
  <si>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</si>
  <si>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</si>
  <si>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</si>
  <si>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</si>
  <si>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</si>
  <si>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</si>
  <si>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</si>
  <si>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</si>
  <si>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</si>
  <si>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</si>
  <si>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</si>
  <si>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</si>
  <si>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</si>
  <si>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</si>
  <si>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</si>
  <si>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</si>
  <si>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</si>
  <si>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</si>
  <si>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</si>
  <si>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</si>
  <si>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</si>
  <si>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</si>
  <si>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</si>
  <si>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</si>
  <si>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</si>
  <si>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</si>
  <si>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</si>
  <si>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</si>
  <si>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</si>
  <si>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</si>
  <si>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</si>
  <si>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</si>
  <si>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</si>
  <si>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</si>
  <si>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</si>
  <si>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</si>
  <si>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</si>
  <si>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</si>
  <si>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</si>
  <si>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</si>
  <si>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</si>
  <si>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</si>
  <si>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</si>
  <si>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</si>
  <si>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</si>
  <si>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</si>
  <si>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</si>
  <si>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</si>
  <si>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</si>
  <si>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</si>
  <si>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</si>
  <si>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</si>
  <si>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</si>
  <si>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</si>
  <si>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</si>
  <si>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</si>
  <si>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</si>
  <si>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</si>
  <si>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</si>
  <si>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</si>
  <si>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</si>
  <si>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</si>
  <si>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</si>
  <si>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</si>
  <si>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</si>
  <si>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</si>
  <si>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</si>
  <si>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</si>
  <si>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</si>
  <si>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</si>
  <si>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</si>
  <si>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</si>
  <si>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</si>
  <si>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</si>
  <si>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</si>
  <si>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</si>
  <si>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</si>
  <si>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</si>
  <si>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</si>
  <si>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</si>
  <si>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</si>
  <si>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</si>
  <si>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</si>
  <si>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</si>
  <si>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</si>
  <si>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</si>
  <si>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</si>
  <si>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Inter. De Partos médio (meses)</t>
  </si>
  <si>
    <t>Persistência (período de lactação)</t>
  </si>
  <si>
    <t>Período de serviço (dias)</t>
  </si>
  <si>
    <t>Nº de cobertura ou Inseminação artificial/ prenhez</t>
  </si>
  <si>
    <t>% Vacas &gt; 90 dias vazias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</si>
  <si>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</si>
  <si>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</si>
  <si>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</si>
  <si>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</si>
  <si>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</si>
  <si>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</si>
  <si>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</si>
  <si>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</si>
  <si>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</si>
  <si>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Tamanho:</t>
  </si>
  <si>
    <t>Análises de Leite</t>
  </si>
  <si>
    <t>Total do Leite</t>
  </si>
  <si>
    <t xml:space="preserve">Média </t>
  </si>
  <si>
    <t>Total Litros/ Mês (L)</t>
  </si>
  <si>
    <t>Sanitários</t>
  </si>
  <si>
    <t>Produtivos</t>
  </si>
  <si>
    <t>Reprodutivos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</si>
  <si>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</si>
  <si>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</si>
  <si>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</si>
  <si>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</si>
  <si>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</si>
  <si>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</si>
  <si>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</si>
  <si>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</si>
  <si>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</si>
  <si>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</si>
  <si>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</si>
  <si>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</si>
  <si>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</si>
  <si>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</si>
  <si>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</si>
  <si>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</si>
  <si>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</si>
  <si>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</si>
  <si>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</si>
  <si>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</si>
  <si>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</si>
  <si>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</si>
  <si>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</si>
  <si>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</si>
  <si>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</si>
  <si>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</si>
  <si>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</si>
  <si>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</si>
  <si>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</si>
  <si>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</si>
  <si>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</si>
  <si>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</si>
  <si>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</si>
  <si>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</si>
  <si>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</si>
  <si>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</si>
  <si>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</si>
  <si>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</si>
  <si>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</si>
  <si>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</si>
  <si>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</si>
  <si>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</si>
  <si>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</si>
  <si>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</si>
  <si>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</si>
  <si>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</si>
  <si>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</si>
  <si>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</si>
  <si>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</si>
  <si>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</si>
  <si>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</si>
  <si>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</si>
  <si>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</si>
  <si>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</si>
  <si>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</si>
  <si>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</si>
  <si>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</si>
  <si>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</si>
  <si>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</si>
  <si>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</si>
  <si>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</si>
  <si>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</si>
  <si>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</si>
  <si>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</si>
  <si>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</si>
  <si>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</si>
  <si>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</si>
  <si>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</si>
  <si>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</si>
  <si>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</si>
  <si>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</si>
  <si>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</si>
  <si>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</si>
  <si>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</si>
  <si>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</si>
  <si>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</si>
  <si>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</si>
  <si>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</si>
  <si>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</si>
  <si>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Açude</t>
  </si>
  <si>
    <t>bezerreiro coletivo</t>
  </si>
  <si>
    <t>bezerreiro individual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</si>
  <si>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</si>
  <si>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</si>
  <si>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</si>
  <si>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</si>
  <si>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</si>
  <si>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</si>
  <si>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Resfriador de leite</t>
  </si>
  <si>
    <t>Arado</t>
  </si>
  <si>
    <t>Grade</t>
  </si>
  <si>
    <t>Moto</t>
  </si>
  <si>
    <t>Plantadeiara tração animal</t>
  </si>
  <si>
    <t>Adubadeira tração animal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</si>
  <si>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</si>
  <si>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</si>
  <si>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</si>
  <si>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</si>
  <si>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</si>
  <si>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</si>
  <si>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</si>
  <si>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</si>
  <si>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</si>
  <si>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</si>
  <si>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</si>
  <si>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</si>
  <si>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</si>
  <si>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</si>
  <si>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</si>
  <si>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</si>
  <si>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</si>
  <si>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</si>
  <si>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</si>
  <si>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</si>
  <si>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</si>
  <si>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</si>
  <si>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</si>
  <si>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</si>
  <si>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</si>
  <si>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</si>
  <si>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</si>
  <si>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</si>
  <si>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</si>
  <si>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</si>
  <si>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</si>
  <si>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</si>
  <si>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</si>
  <si>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</si>
  <si>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</si>
  <si>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</si>
  <si>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</si>
  <si>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</si>
  <si>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</si>
  <si>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</si>
  <si>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</si>
  <si>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</si>
  <si>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</si>
  <si>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</si>
  <si>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</si>
  <si>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</si>
  <si>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</si>
  <si>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</si>
  <si>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</si>
  <si>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</si>
  <si>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</si>
  <si>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</si>
  <si>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</si>
  <si>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</si>
  <si>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</si>
  <si>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</si>
  <si>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</si>
  <si>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</si>
  <si>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</si>
  <si>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</si>
  <si>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</si>
  <si>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</si>
  <si>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</si>
  <si>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</si>
  <si>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</si>
  <si>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</si>
  <si>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</si>
  <si>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</si>
  <si>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</si>
  <si>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</si>
  <si>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</si>
  <si>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</si>
  <si>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</si>
  <si>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</si>
  <si>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</si>
  <si>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</si>
  <si>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</si>
  <si>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</si>
  <si>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</si>
  <si>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</si>
  <si>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</si>
  <si>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</si>
  <si>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</si>
  <si>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</si>
  <si>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</si>
  <si>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</si>
  <si>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</si>
  <si>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</si>
  <si>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</si>
  <si>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</si>
  <si>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</si>
  <si>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</si>
  <si>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</si>
  <si>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</si>
  <si>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</si>
  <si>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</si>
  <si>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</si>
  <si>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</si>
  <si>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</si>
  <si>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</si>
  <si>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</si>
  <si>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</si>
  <si>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</si>
  <si>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</si>
  <si>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</si>
  <si>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</si>
  <si>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</si>
  <si>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</si>
  <si>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</si>
  <si>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</si>
  <si>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</si>
  <si>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</si>
  <si>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</si>
  <si>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</si>
  <si>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</si>
  <si>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</si>
  <si>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</si>
  <si>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</si>
  <si>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</si>
  <si>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</si>
  <si>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</si>
  <si>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</si>
  <si>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Cocho</t>
  </si>
  <si>
    <t>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</si>
  <si>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</si>
  <si>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</si>
  <si>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</si>
  <si>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</si>
  <si>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</si>
  <si>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</si>
  <si>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</si>
  <si>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</si>
  <si>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</si>
  <si>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</si>
  <si>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</si>
  <si>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</si>
  <si>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</si>
  <si>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</si>
  <si>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</si>
  <si>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</si>
  <si>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</si>
  <si>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</si>
  <si>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</si>
  <si>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</si>
  <si>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</si>
  <si>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</si>
  <si>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</si>
  <si>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</si>
  <si>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</si>
  <si>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</si>
  <si>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</si>
  <si>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</si>
  <si>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</si>
  <si>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</si>
  <si>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</si>
  <si>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</si>
  <si>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</si>
  <si>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INDICADORES REPRODUTIVOS</t>
  </si>
  <si>
    <t>Grupo de Estudo em Gestão Rural</t>
  </si>
  <si>
    <t>Pecuária Leiteira</t>
  </si>
  <si>
    <t>Indicadores Técnicos Mensais</t>
  </si>
  <si>
    <t>INDICADORES ECONÔMICOS ANUAIS</t>
  </si>
  <si>
    <t>INDICADORES TÉCNICOS ANUAIS</t>
  </si>
  <si>
    <t>Custo total da atividade leiteira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</si>
  <si>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</si>
  <si>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</si>
  <si>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</si>
  <si>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</si>
  <si>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</si>
  <si>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COE DO DA ATIVIDADE LEITEIRA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</si>
  <si>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</si>
  <si>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</si>
  <si>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</si>
  <si>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</si>
  <si>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</si>
  <si>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</si>
  <si>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</si>
  <si>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</si>
  <si>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</si>
  <si>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</si>
  <si>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</si>
  <si>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</si>
  <si>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</si>
  <si>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</si>
  <si>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</si>
  <si>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Margem líquida da atividade leite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</si>
  <si>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</si>
  <si>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</si>
  <si>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</si>
  <si>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</si>
  <si>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</si>
  <si>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>Armazém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</si>
  <si>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</si>
  <si>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</si>
  <si>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</si>
  <si>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</si>
  <si>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</si>
  <si>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</si>
  <si>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</si>
  <si>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</si>
  <si>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</si>
  <si>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</si>
  <si>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</si>
  <si>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</si>
  <si>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</si>
  <si>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</si>
  <si>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</si>
  <si>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</si>
  <si>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</si>
  <si>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</si>
  <si>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</si>
  <si>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</si>
  <si>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</si>
  <si>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</si>
  <si>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</si>
  <si>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</si>
  <si>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</si>
  <si>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</si>
  <si>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</si>
  <si>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</si>
  <si>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</si>
  <si>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</si>
  <si>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</si>
  <si>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</si>
  <si>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</si>
  <si>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</si>
  <si>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</si>
  <si>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</si>
  <si>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</si>
  <si>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</si>
  <si>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</si>
  <si>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</si>
  <si>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</si>
  <si>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</si>
  <si>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</si>
  <si>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</si>
  <si>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</si>
  <si>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</si>
  <si>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</si>
  <si>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</si>
  <si>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</si>
  <si>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</si>
  <si>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</si>
  <si>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</si>
  <si>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</si>
  <si>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</si>
  <si>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</si>
  <si>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</si>
  <si>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</si>
  <si>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</si>
  <si>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</si>
  <si>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</si>
  <si>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</si>
  <si>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</si>
  <si>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</si>
  <si>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</si>
  <si>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Adriana Veloso</t>
  </si>
  <si>
    <t>São Bento do Una</t>
  </si>
  <si>
    <t>Pastagem Nativa</t>
  </si>
  <si>
    <t>Pastagem Pangola</t>
  </si>
  <si>
    <t>Bezerreiro coletivo</t>
  </si>
  <si>
    <t xml:space="preserve">Carreta </t>
  </si>
  <si>
    <t>Arreamento da carroça</t>
  </si>
  <si>
    <t xml:space="preserve">Caçamba </t>
  </si>
  <si>
    <t>Trator</t>
  </si>
  <si>
    <t>Botijão de sêmen</t>
  </si>
</sst>
</file>

<file path=xl/styles.xml><?xml version="1.0" encoding="utf-8"?>
<styleSheet xmlns="http://schemas.openxmlformats.org/spreadsheetml/2006/main">
  <numFmts count="15">
    <numFmt numFmtId="8" formatCode="&quot;R$&quot;\ #,##0.00;[Red]\-&quot;R$&quot;\ #,##0.00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  <numFmt numFmtId="176" formatCode="_(&quot;R$&quot;* #,##0.000_);_(&quot;R$&quot;* \(#,##0.000\);_(&quot;R$&quot;* &quot;-&quot;??_);_(@_)"/>
  </numFmts>
  <fonts count="34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</cellStyleXfs>
  <cellXfs count="56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right"/>
      <protection hidden="1"/>
    </xf>
    <xf numFmtId="165" fontId="7" fillId="0" borderId="0" xfId="1" applyFont="1" applyBorder="1" applyProtection="1">
      <protection hidden="1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18" fillId="6" borderId="8" xfId="0" applyFont="1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65" fontId="0" fillId="0" borderId="0" xfId="1" applyFont="1" applyBorder="1" applyProtection="1"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17" fillId="2" borderId="0" xfId="0" applyFont="1" applyFill="1" applyProtection="1"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3" fillId="6" borderId="26" xfId="3" applyFont="1" applyFill="1" applyBorder="1" applyAlignment="1" applyProtection="1">
      <alignment vertical="center"/>
    </xf>
    <xf numFmtId="0" fontId="23" fillId="6" borderId="0" xfId="3" applyFont="1" applyFill="1" applyBorder="1" applyAlignment="1" applyProtection="1">
      <alignment vertical="center"/>
    </xf>
    <xf numFmtId="0" fontId="23" fillId="6" borderId="56" xfId="3" applyFont="1" applyFill="1" applyBorder="1" applyAlignment="1" applyProtection="1">
      <alignment vertical="center"/>
    </xf>
    <xf numFmtId="0" fontId="23" fillId="4" borderId="26" xfId="3" applyFont="1" applyFill="1" applyBorder="1" applyAlignment="1" applyProtection="1">
      <alignment vertical="center"/>
    </xf>
    <xf numFmtId="2" fontId="24" fillId="4" borderId="56" xfId="3" applyNumberFormat="1" applyFont="1" applyFill="1" applyBorder="1" applyAlignment="1" applyProtection="1">
      <alignment horizontal="center" vertical="center"/>
    </xf>
    <xf numFmtId="0" fontId="24" fillId="4" borderId="26" xfId="3" applyFont="1" applyFill="1" applyBorder="1" applyAlignment="1" applyProtection="1">
      <alignment horizontal="left" vertical="center"/>
    </xf>
    <xf numFmtId="4" fontId="23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4" fillId="4" borderId="26" xfId="3" applyFont="1" applyFill="1" applyBorder="1" applyAlignment="1" applyProtection="1">
      <alignment vertical="center"/>
    </xf>
    <xf numFmtId="0" fontId="23" fillId="4" borderId="56" xfId="3" applyFont="1" applyFill="1" applyBorder="1" applyAlignment="1" applyProtection="1">
      <alignment vertical="center"/>
    </xf>
    <xf numFmtId="0" fontId="24" fillId="6" borderId="8" xfId="3" applyFont="1" applyFill="1" applyBorder="1" applyAlignment="1" applyProtection="1">
      <alignment horizontal="center" vertical="center"/>
    </xf>
    <xf numFmtId="10" fontId="24" fillId="3" borderId="56" xfId="3" applyNumberFormat="1" applyFont="1" applyFill="1" applyBorder="1" applyAlignment="1" applyProtection="1">
      <alignment horizontal="center" vertical="center"/>
      <protection locked="0"/>
    </xf>
    <xf numFmtId="0" fontId="23" fillId="6" borderId="24" xfId="3" applyFont="1" applyFill="1" applyBorder="1" applyAlignment="1" applyProtection="1">
      <alignment vertical="center"/>
    </xf>
    <xf numFmtId="0" fontId="24" fillId="6" borderId="24" xfId="3" applyFont="1" applyFill="1" applyBorder="1" applyAlignment="1" applyProtection="1">
      <alignment horizontal="left" vertical="center"/>
    </xf>
    <xf numFmtId="2" fontId="24" fillId="6" borderId="24" xfId="3" applyNumberFormat="1" applyFont="1" applyFill="1" applyBorder="1" applyAlignment="1" applyProtection="1">
      <alignment horizontal="right" vertical="center"/>
    </xf>
    <xf numFmtId="174" fontId="23" fillId="4" borderId="56" xfId="3" applyNumberFormat="1" applyFont="1" applyFill="1" applyBorder="1" applyAlignment="1" applyProtection="1">
      <alignment horizontal="center" vertical="center"/>
    </xf>
    <xf numFmtId="0" fontId="23" fillId="5" borderId="24" xfId="3" applyFont="1" applyFill="1" applyBorder="1" applyAlignment="1" applyProtection="1">
      <alignment horizontal="center" vertical="center"/>
      <protection locked="0"/>
    </xf>
    <xf numFmtId="2" fontId="23" fillId="6" borderId="24" xfId="3" applyNumberFormat="1" applyFont="1" applyFill="1" applyBorder="1" applyAlignment="1" applyProtection="1">
      <alignment horizontal="center" vertical="center"/>
    </xf>
    <xf numFmtId="2" fontId="23" fillId="6" borderId="24" xfId="3" applyNumberFormat="1" applyFont="1" applyFill="1" applyBorder="1" applyAlignment="1" applyProtection="1">
      <alignment vertical="center"/>
    </xf>
    <xf numFmtId="2" fontId="23" fillId="4" borderId="26" xfId="3" applyNumberFormat="1" applyFont="1" applyFill="1" applyBorder="1" applyAlignment="1" applyProtection="1">
      <alignment vertical="center"/>
    </xf>
    <xf numFmtId="2" fontId="23" fillId="4" borderId="56" xfId="3" applyNumberFormat="1" applyFont="1" applyFill="1" applyBorder="1" applyAlignment="1" applyProtection="1">
      <alignment horizontal="center" vertical="center"/>
    </xf>
    <xf numFmtId="0" fontId="23" fillId="5" borderId="17" xfId="3" applyFont="1" applyFill="1" applyBorder="1" applyAlignment="1" applyProtection="1">
      <alignment horizontal="center" vertical="center"/>
      <protection locked="0"/>
    </xf>
    <xf numFmtId="0" fontId="23" fillId="6" borderId="17" xfId="3" applyFont="1" applyFill="1" applyBorder="1" applyAlignment="1" applyProtection="1">
      <alignment vertical="center"/>
    </xf>
    <xf numFmtId="2" fontId="23" fillId="6" borderId="17" xfId="3" applyNumberFormat="1" applyFont="1" applyFill="1" applyBorder="1" applyAlignment="1" applyProtection="1">
      <alignment horizontal="center" vertical="center"/>
    </xf>
    <xf numFmtId="2" fontId="23" fillId="3" borderId="56" xfId="3" applyNumberFormat="1" applyFont="1" applyFill="1" applyBorder="1" applyAlignment="1" applyProtection="1">
      <alignment horizontal="center" vertical="center"/>
      <protection locked="0"/>
    </xf>
    <xf numFmtId="0" fontId="24" fillId="6" borderId="17" xfId="3" applyFont="1" applyFill="1" applyBorder="1" applyAlignment="1" applyProtection="1">
      <alignment horizontal="left" vertical="center"/>
    </xf>
    <xf numFmtId="2" fontId="23" fillId="6" borderId="8" xfId="3" applyNumberFormat="1" applyFont="1" applyFill="1" applyBorder="1" applyAlignment="1" applyProtection="1">
      <alignment vertical="center"/>
    </xf>
    <xf numFmtId="2" fontId="24" fillId="6" borderId="8" xfId="3" applyNumberFormat="1" applyFont="1" applyFill="1" applyBorder="1" applyAlignment="1" applyProtection="1">
      <alignment horizontal="center" vertical="center"/>
    </xf>
    <xf numFmtId="2" fontId="24" fillId="6" borderId="16" xfId="3" applyNumberFormat="1" applyFont="1" applyFill="1" applyBorder="1" applyAlignment="1" applyProtection="1">
      <alignment vertical="center"/>
    </xf>
    <xf numFmtId="2" fontId="24" fillId="4" borderId="26" xfId="3" applyNumberFormat="1" applyFont="1" applyFill="1" applyBorder="1" applyAlignment="1" applyProtection="1">
      <alignment vertical="center"/>
    </xf>
    <xf numFmtId="0" fontId="23" fillId="6" borderId="21" xfId="3" applyFont="1" applyFill="1" applyBorder="1" applyAlignment="1" applyProtection="1">
      <alignment vertical="center"/>
    </xf>
    <xf numFmtId="0" fontId="23" fillId="6" borderId="28" xfId="3" applyFont="1" applyFill="1" applyBorder="1" applyAlignment="1" applyProtection="1">
      <alignment vertical="center"/>
    </xf>
    <xf numFmtId="2" fontId="24" fillId="6" borderId="28" xfId="3" applyNumberFormat="1" applyFont="1" applyFill="1" applyBorder="1" applyAlignment="1" applyProtection="1">
      <alignment horizontal="center" vertical="center"/>
    </xf>
    <xf numFmtId="2" fontId="24" fillId="6" borderId="28" xfId="3" applyNumberFormat="1" applyFont="1" applyFill="1" applyBorder="1" applyAlignment="1" applyProtection="1">
      <alignment vertical="center"/>
    </xf>
    <xf numFmtId="0" fontId="23" fillId="6" borderId="57" xfId="3" applyFont="1" applyFill="1" applyBorder="1" applyAlignment="1" applyProtection="1">
      <alignment vertical="center"/>
    </xf>
    <xf numFmtId="2" fontId="24" fillId="4" borderId="57" xfId="3" applyNumberFormat="1" applyFont="1" applyFill="1" applyBorder="1" applyAlignment="1" applyProtection="1">
      <alignment horizontal="center" vertical="center"/>
    </xf>
    <xf numFmtId="2" fontId="24" fillId="4" borderId="21" xfId="3" applyNumberFormat="1" applyFont="1" applyFill="1" applyBorder="1" applyAlignment="1" applyProtection="1">
      <alignment vertical="center"/>
    </xf>
    <xf numFmtId="0" fontId="23" fillId="4" borderId="57" xfId="3" applyFont="1" applyFill="1" applyBorder="1" applyAlignment="1" applyProtection="1">
      <alignment vertical="center"/>
    </xf>
    <xf numFmtId="0" fontId="20" fillId="9" borderId="25" xfId="0" applyFont="1" applyFill="1" applyBorder="1"/>
    <xf numFmtId="0" fontId="20" fillId="9" borderId="55" xfId="0" applyFont="1" applyFill="1" applyBorder="1"/>
    <xf numFmtId="0" fontId="20" fillId="9" borderId="54" xfId="0" applyFont="1" applyFill="1" applyBorder="1"/>
    <xf numFmtId="0" fontId="20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5" fillId="4" borderId="8" xfId="0" applyFont="1" applyFill="1" applyBorder="1" applyProtection="1"/>
    <xf numFmtId="0" fontId="25" fillId="4" borderId="19" xfId="0" applyFont="1" applyFill="1" applyBorder="1" applyAlignment="1" applyProtection="1">
      <alignment horizontal="center"/>
    </xf>
    <xf numFmtId="4" fontId="25" fillId="4" borderId="50" xfId="0" applyNumberFormat="1" applyFont="1" applyFill="1" applyBorder="1" applyAlignment="1" applyProtection="1">
      <alignment horizontal="center"/>
    </xf>
    <xf numFmtId="0" fontId="25" fillId="4" borderId="0" xfId="0" applyFont="1" applyFill="1" applyProtection="1"/>
    <xf numFmtId="4" fontId="25" fillId="4" borderId="9" xfId="0" applyNumberFormat="1" applyFont="1" applyFill="1" applyBorder="1" applyAlignment="1" applyProtection="1">
      <alignment horizontal="center"/>
    </xf>
    <xf numFmtId="0" fontId="25" fillId="4" borderId="25" xfId="0" applyFont="1" applyFill="1" applyBorder="1" applyAlignment="1" applyProtection="1">
      <alignment horizontal="center"/>
    </xf>
    <xf numFmtId="0" fontId="25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5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5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5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4" fontId="0" fillId="2" borderId="64" xfId="0" applyNumberForma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166" fontId="0" fillId="4" borderId="50" xfId="2" applyNumberFormat="1" applyFont="1" applyFill="1" applyBorder="1" applyAlignment="1" applyProtection="1">
      <alignment horizontal="center"/>
    </xf>
    <xf numFmtId="2" fontId="0" fillId="4" borderId="64" xfId="0" applyNumberFormat="1" applyFill="1" applyBorder="1" applyAlignment="1" applyProtection="1">
      <alignment horizontal="center"/>
    </xf>
    <xf numFmtId="0" fontId="28" fillId="4" borderId="21" xfId="3" applyFont="1" applyFill="1" applyBorder="1" applyAlignment="1" applyProtection="1">
      <alignment vertical="center"/>
    </xf>
    <xf numFmtId="0" fontId="0" fillId="10" borderId="8" xfId="0" applyFill="1" applyBorder="1" applyProtection="1"/>
    <xf numFmtId="0" fontId="0" fillId="10" borderId="19" xfId="0" applyFill="1" applyBorder="1" applyAlignment="1" applyProtection="1">
      <alignment horizontal="center"/>
    </xf>
    <xf numFmtId="166" fontId="0" fillId="10" borderId="64" xfId="0" applyNumberFormat="1" applyFill="1" applyBorder="1" applyAlignment="1" applyProtection="1">
      <alignment horizontal="center"/>
    </xf>
    <xf numFmtId="0" fontId="27" fillId="0" borderId="66" xfId="0" applyFont="1" applyBorder="1" applyAlignment="1">
      <alignment horizontal="center" wrapText="1" readingOrder="1"/>
    </xf>
    <xf numFmtId="8" fontId="27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10" borderId="7" xfId="0" applyFill="1" applyBorder="1" applyAlignment="1" applyProtection="1">
      <alignment horizontal="center"/>
    </xf>
    <xf numFmtId="4" fontId="0" fillId="10" borderId="5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18" fillId="5" borderId="25" xfId="0" applyFont="1" applyFill="1" applyBorder="1" applyAlignment="1" applyProtection="1">
      <alignment horizontal="left"/>
      <protection locked="0"/>
    </xf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172" fontId="0" fillId="4" borderId="8" xfId="0" applyNumberFormat="1" applyFill="1" applyBorder="1" applyAlignment="1" applyProtection="1">
      <alignment horizontal="center"/>
      <protection hidden="1"/>
    </xf>
    <xf numFmtId="0" fontId="29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9" fillId="4" borderId="17" xfId="0" applyFont="1" applyFill="1" applyBorder="1"/>
    <xf numFmtId="164" fontId="29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9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1" borderId="0" xfId="0" applyFill="1"/>
    <xf numFmtId="0" fontId="4" fillId="11" borderId="0" xfId="0" applyFont="1" applyFill="1" applyBorder="1"/>
    <xf numFmtId="0" fontId="4" fillId="11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0" fillId="5" borderId="24" xfId="0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hidden="1"/>
    </xf>
    <xf numFmtId="3" fontId="0" fillId="0" borderId="8" xfId="1" applyNumberFormat="1" applyFont="1" applyBorder="1" applyAlignment="1" applyProtection="1">
      <alignment horizontal="center"/>
      <protection hidden="1"/>
    </xf>
    <xf numFmtId="1" fontId="0" fillId="0" borderId="8" xfId="1" applyNumberFormat="1" applyFont="1" applyBorder="1" applyAlignment="1" applyProtection="1">
      <alignment horizontal="center"/>
      <protection hidden="1"/>
    </xf>
    <xf numFmtId="176" fontId="0" fillId="3" borderId="12" xfId="4" applyNumberFormat="1" applyFont="1" applyFill="1" applyBorder="1" applyProtection="1">
      <protection locked="0"/>
    </xf>
    <xf numFmtId="176" fontId="0" fillId="3" borderId="24" xfId="4" applyNumberFormat="1" applyFont="1" applyFill="1" applyBorder="1" applyProtection="1">
      <protection locked="0"/>
    </xf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5" fontId="7" fillId="6" borderId="28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19" fillId="2" borderId="0" xfId="0" applyFont="1" applyFill="1" applyAlignment="1">
      <alignment horizontal="center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24" fillId="6" borderId="25" xfId="3" applyFont="1" applyFill="1" applyBorder="1" applyAlignment="1" applyProtection="1">
      <alignment horizontal="left" vertical="center"/>
    </xf>
    <xf numFmtId="0" fontId="24" fillId="6" borderId="55" xfId="3" applyFont="1" applyFill="1" applyBorder="1" applyAlignment="1" applyProtection="1">
      <alignment horizontal="left" vertical="center"/>
    </xf>
    <xf numFmtId="4" fontId="23" fillId="4" borderId="55" xfId="3" applyNumberFormat="1" applyFont="1" applyFill="1" applyBorder="1" applyAlignment="1" applyProtection="1">
      <alignment horizontal="left" vertical="center"/>
      <protection locked="0"/>
    </xf>
    <xf numFmtId="4" fontId="23" fillId="4" borderId="54" xfId="3" applyNumberFormat="1" applyFont="1" applyFill="1" applyBorder="1" applyAlignment="1" applyProtection="1">
      <alignment horizontal="left" vertical="center"/>
      <protection locked="0"/>
    </xf>
    <xf numFmtId="0" fontId="21" fillId="8" borderId="19" xfId="3" applyFont="1" applyFill="1" applyBorder="1" applyAlignment="1" applyProtection="1">
      <alignment horizontal="center" vertical="center"/>
    </xf>
    <xf numFmtId="0" fontId="21" fillId="8" borderId="27" xfId="3" applyFont="1" applyFill="1" applyBorder="1" applyAlignment="1" applyProtection="1">
      <alignment horizontal="center" vertical="center"/>
    </xf>
    <xf numFmtId="0" fontId="21" fillId="8" borderId="16" xfId="3" applyFont="1" applyFill="1" applyBorder="1" applyAlignment="1" applyProtection="1">
      <alignment horizontal="center" vertical="center"/>
    </xf>
    <xf numFmtId="0" fontId="22" fillId="8" borderId="25" xfId="0" applyFont="1" applyFill="1" applyBorder="1" applyAlignment="1">
      <alignment horizontal="center"/>
    </xf>
    <xf numFmtId="0" fontId="22" fillId="8" borderId="54" xfId="0" applyFont="1" applyFill="1" applyBorder="1" applyAlignment="1">
      <alignment horizontal="center"/>
    </xf>
    <xf numFmtId="0" fontId="24" fillId="6" borderId="54" xfId="3" applyFont="1" applyFill="1" applyBorder="1" applyAlignment="1" applyProtection="1">
      <alignment horizontal="left" vertical="center"/>
    </xf>
    <xf numFmtId="4" fontId="23" fillId="5" borderId="55" xfId="3" applyNumberFormat="1" applyFont="1" applyFill="1" applyBorder="1" applyAlignment="1" applyProtection="1">
      <alignment horizontal="left" vertical="center"/>
      <protection locked="0"/>
    </xf>
    <xf numFmtId="4" fontId="23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55" xfId="0" applyFont="1" applyBorder="1" applyAlignment="1">
      <alignment horizontal="center"/>
    </xf>
    <xf numFmtId="0" fontId="30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</cellXfs>
  <cellStyles count="5">
    <cellStyle name="Moeda" xfId="4" builtinId="4"/>
    <cellStyle name="Normal" xfId="0" builtinId="0"/>
    <cellStyle name="Normal 2" xfId="3"/>
    <cellStyle name="Porcentagem" xfId="2" builtinId="5"/>
    <cellStyle name="Separador de milhares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'DADOS TÉCNICOS MENSAIS'!$A$6</c:f>
              <c:strCache>
                <c:ptCount val="1"/>
                <c:pt idx="0">
                  <c:v>MÉDIA Litros/dia (L)</c:v>
                </c:pt>
              </c:strCache>
            </c:strRef>
          </c:tx>
          <c:val>
            <c:numRef>
              <c:f>'DADOS TÉCNICOS MENSAIS'!$B$6:$N$6</c:f>
              <c:numCache>
                <c:formatCode>0.0</c:formatCode>
                <c:ptCount val="13"/>
                <c:pt idx="1">
                  <c:v>55.4</c:v>
                </c:pt>
                <c:pt idx="2">
                  <c:v>49.2</c:v>
                </c:pt>
                <c:pt idx="3">
                  <c:v>49.838709677419352</c:v>
                </c:pt>
                <c:pt idx="4">
                  <c:v>48</c:v>
                </c:pt>
                <c:pt idx="5">
                  <c:v>30.9</c:v>
                </c:pt>
                <c:pt idx="6">
                  <c:v>41.766666666666666</c:v>
                </c:pt>
                <c:pt idx="7">
                  <c:v>59.838709677419352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'DADOS TÉCNICOS MENSAIS'!$A$7</c:f>
              <c:strCache>
                <c:ptCount val="1"/>
                <c:pt idx="0">
                  <c:v>Total Litros/ Mês (L)</c:v>
                </c:pt>
              </c:strCache>
            </c:strRef>
          </c:tx>
          <c:val>
            <c:numRef>
              <c:f>'DADOS TÉCNICOS MENSAIS'!$B$7:$N$7</c:f>
              <c:numCache>
                <c:formatCode>0</c:formatCode>
                <c:ptCount val="13"/>
                <c:pt idx="1">
                  <c:v>1662</c:v>
                </c:pt>
                <c:pt idx="2">
                  <c:v>1476</c:v>
                </c:pt>
                <c:pt idx="3">
                  <c:v>1545</c:v>
                </c:pt>
                <c:pt idx="4">
                  <c:v>1440</c:v>
                </c:pt>
                <c:pt idx="5">
                  <c:v>957.9</c:v>
                </c:pt>
                <c:pt idx="6">
                  <c:v>1253</c:v>
                </c:pt>
                <c:pt idx="7">
                  <c:v>1855</c:v>
                </c:pt>
              </c:numCache>
            </c:numRef>
          </c:val>
        </c:ser>
        <c:marker val="1"/>
        <c:axId val="86003072"/>
        <c:axId val="86123648"/>
      </c:lineChart>
      <c:catAx>
        <c:axId val="86003072"/>
        <c:scaling>
          <c:orientation val="minMax"/>
        </c:scaling>
        <c:axPos val="b"/>
        <c:tickLblPos val="nextTo"/>
        <c:crossAx val="86123648"/>
        <c:crosses val="autoZero"/>
        <c:auto val="1"/>
        <c:lblAlgn val="ctr"/>
        <c:lblOffset val="100"/>
      </c:catAx>
      <c:valAx>
        <c:axId val="86123648"/>
        <c:scaling>
          <c:orientation val="minMax"/>
        </c:scaling>
        <c:axPos val="l"/>
        <c:majorGridlines/>
        <c:numFmt formatCode="General" sourceLinked="1"/>
        <c:tickLblPos val="nextTo"/>
        <c:crossAx val="86003072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8740157499999996" l="0.511811024" r="0.511811024" t="0.78740157499999996" header="0.31496062000000086" footer="0.3149606200000008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lan1"/>
      <sheetName val="PERSONAL"/>
    </sheetNames>
    <definedNames>
      <definedName name="Men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T14"/>
  <sheetViews>
    <sheetView workbookViewId="0">
      <selection activeCell="D5" sqref="D5"/>
    </sheetView>
  </sheetViews>
  <sheetFormatPr defaultRowHeight="15"/>
  <cols>
    <col min="1" max="16384" width="9.140625" style="1"/>
  </cols>
  <sheetData>
    <row r="1" spans="1:20" ht="26.25">
      <c r="A1" s="501" t="s">
        <v>369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</row>
    <row r="2" spans="1:20" ht="26.25">
      <c r="A2" s="501" t="s">
        <v>370</v>
      </c>
      <c r="B2" s="501"/>
      <c r="C2" s="501"/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</row>
    <row r="3" spans="1:20" ht="23.25">
      <c r="A3" s="502"/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</row>
    <row r="4" spans="1:20" ht="15.75" thickBot="1"/>
    <row r="5" spans="1:20">
      <c r="I5" s="35" t="s">
        <v>0</v>
      </c>
      <c r="J5" s="503" t="str">
        <f>PERFIL!B3</f>
        <v>Adriana Veloso</v>
      </c>
      <c r="K5" s="503"/>
      <c r="L5" s="503"/>
      <c r="M5" s="504"/>
      <c r="N5" s="5"/>
    </row>
    <row r="6" spans="1:20">
      <c r="I6" s="36" t="s">
        <v>109</v>
      </c>
      <c r="J6" s="497">
        <f>PERFIL!B5</f>
        <v>8.8000000000000007</v>
      </c>
      <c r="K6" s="497"/>
      <c r="L6" s="497"/>
      <c r="M6" s="498"/>
      <c r="N6" s="5"/>
    </row>
    <row r="7" spans="1:20" ht="15.75" thickBot="1">
      <c r="I7" s="37" t="s">
        <v>221</v>
      </c>
      <c r="J7" s="499" t="str">
        <f>PERFIL!B4</f>
        <v>São Bento do Una</v>
      </c>
      <c r="K7" s="499"/>
      <c r="L7" s="499"/>
      <c r="M7" s="500"/>
      <c r="N7" s="5"/>
    </row>
    <row r="8" spans="1:20">
      <c r="F8" s="5"/>
      <c r="G8" s="5"/>
      <c r="H8" s="5"/>
      <c r="I8" s="5"/>
      <c r="J8" s="5"/>
      <c r="K8" s="5"/>
    </row>
    <row r="9" spans="1:20">
      <c r="F9" s="5"/>
      <c r="G9" s="5"/>
      <c r="H9" s="5"/>
      <c r="I9" s="5"/>
      <c r="J9" s="5"/>
      <c r="K9" s="5"/>
    </row>
    <row r="14" spans="1:20">
      <c r="K14" s="2"/>
    </row>
  </sheetData>
  <mergeCells count="6">
    <mergeCell ref="J6:M6"/>
    <mergeCell ref="J7:M7"/>
    <mergeCell ref="A1:T1"/>
    <mergeCell ref="A2:T2"/>
    <mergeCell ref="A3:T3"/>
    <mergeCell ref="J5:M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3:G9"/>
  <sheetViews>
    <sheetView workbookViewId="0">
      <selection activeCell="C9" sqref="C9"/>
    </sheetView>
  </sheetViews>
  <sheetFormatPr defaultRowHeight="15"/>
  <cols>
    <col min="1" max="1" width="37.7109375" style="1" bestFit="1" customWidth="1"/>
    <col min="2" max="16384" width="9.140625" style="1"/>
  </cols>
  <sheetData>
    <row r="3" spans="1:7">
      <c r="A3" s="1" t="s">
        <v>132</v>
      </c>
      <c r="B3" s="291" t="s">
        <v>467</v>
      </c>
      <c r="C3" s="291"/>
      <c r="D3" s="291"/>
      <c r="E3" s="291"/>
      <c r="F3" s="291"/>
      <c r="G3" s="291"/>
    </row>
    <row r="4" spans="1:7">
      <c r="A4" s="1" t="s">
        <v>221</v>
      </c>
      <c r="B4" s="291" t="s">
        <v>468</v>
      </c>
      <c r="C4" s="291"/>
      <c r="D4" s="291"/>
      <c r="E4" s="291"/>
      <c r="F4" s="291"/>
      <c r="G4" s="291"/>
    </row>
    <row r="5" spans="1:7">
      <c r="A5" s="1" t="s">
        <v>337</v>
      </c>
      <c r="B5" s="291">
        <v>8.8000000000000007</v>
      </c>
    </row>
    <row r="6" spans="1:7">
      <c r="A6" s="1" t="s">
        <v>336</v>
      </c>
      <c r="B6" s="291">
        <v>8.8000000000000007</v>
      </c>
    </row>
    <row r="7" spans="1:7">
      <c r="A7" s="1" t="s">
        <v>133</v>
      </c>
      <c r="B7" s="291">
        <v>60</v>
      </c>
    </row>
    <row r="8" spans="1:7">
      <c r="A8" s="1" t="s">
        <v>134</v>
      </c>
      <c r="B8" s="291"/>
    </row>
    <row r="9" spans="1:7">
      <c r="A9" s="1" t="s">
        <v>135</v>
      </c>
      <c r="B9" s="291">
        <v>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2:N133"/>
  <sheetViews>
    <sheetView tabSelected="1" topLeftCell="A46" zoomScale="70" zoomScaleNormal="70" workbookViewId="0">
      <selection activeCell="B71" sqref="B71"/>
    </sheetView>
  </sheetViews>
  <sheetFormatPr defaultRowHeight="1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140625" style="1" bestFit="1" customWidth="1"/>
    <col min="12" max="16384" width="9.140625" style="1"/>
  </cols>
  <sheetData>
    <row r="2" spans="1:14">
      <c r="A2" s="520" t="s">
        <v>219</v>
      </c>
      <c r="B2" s="520"/>
      <c r="C2" s="520"/>
      <c r="D2" s="520"/>
      <c r="E2" s="520"/>
    </row>
    <row r="3" spans="1:14">
      <c r="A3" s="520"/>
      <c r="B3" s="520"/>
      <c r="C3" s="520"/>
      <c r="D3" s="520"/>
      <c r="E3" s="520"/>
    </row>
    <row r="4" spans="1:14">
      <c r="A4" s="520"/>
      <c r="B4" s="520"/>
      <c r="C4" s="520"/>
      <c r="D4" s="520"/>
      <c r="E4" s="520"/>
    </row>
    <row r="5" spans="1:14" ht="23.25">
      <c r="A5" s="131" t="s">
        <v>136</v>
      </c>
      <c r="B5" s="132"/>
      <c r="C5" s="133"/>
      <c r="D5" s="133"/>
      <c r="E5" s="133"/>
      <c r="F5" s="134"/>
      <c r="I5" s="505" t="s">
        <v>301</v>
      </c>
      <c r="J5" s="506"/>
      <c r="K5" s="3"/>
      <c r="L5" s="3"/>
      <c r="M5" s="3"/>
      <c r="N5" s="3"/>
    </row>
    <row r="6" spans="1:14">
      <c r="A6" s="135"/>
      <c r="B6" s="521" t="s">
        <v>137</v>
      </c>
      <c r="C6" s="522"/>
      <c r="D6" s="508" t="s">
        <v>138</v>
      </c>
      <c r="E6" s="522"/>
      <c r="F6" s="136"/>
      <c r="I6" s="449"/>
      <c r="J6" s="450"/>
    </row>
    <row r="7" spans="1:14">
      <c r="A7" s="38"/>
      <c r="B7" s="523" t="s">
        <v>139</v>
      </c>
      <c r="C7" s="524"/>
      <c r="D7" s="523" t="s">
        <v>139</v>
      </c>
      <c r="E7" s="524"/>
      <c r="F7" s="39" t="s">
        <v>140</v>
      </c>
      <c r="I7" s="451" t="s">
        <v>297</v>
      </c>
      <c r="J7" s="452">
        <f>F42</f>
        <v>700</v>
      </c>
    </row>
    <row r="8" spans="1:14">
      <c r="A8" s="40" t="s">
        <v>108</v>
      </c>
      <c r="B8" s="38" t="s">
        <v>141</v>
      </c>
      <c r="C8" s="38" t="s">
        <v>142</v>
      </c>
      <c r="D8" s="38" t="s">
        <v>141</v>
      </c>
      <c r="E8" s="38" t="s">
        <v>142</v>
      </c>
      <c r="F8" s="41" t="s">
        <v>142</v>
      </c>
      <c r="I8" s="451" t="s">
        <v>302</v>
      </c>
      <c r="J8" s="453">
        <f>B76</f>
        <v>0</v>
      </c>
    </row>
    <row r="9" spans="1:14">
      <c r="A9" s="42"/>
      <c r="B9" s="42" t="s">
        <v>143</v>
      </c>
      <c r="C9" s="42"/>
      <c r="D9" s="42" t="s">
        <v>143</v>
      </c>
      <c r="E9" s="42"/>
      <c r="F9" s="43" t="s">
        <v>144</v>
      </c>
      <c r="I9" s="451" t="s">
        <v>303</v>
      </c>
      <c r="J9" s="453">
        <f>B72</f>
        <v>0</v>
      </c>
    </row>
    <row r="10" spans="1:14">
      <c r="A10" s="292" t="s">
        <v>469</v>
      </c>
      <c r="B10" s="44"/>
      <c r="C10" s="44">
        <v>2.8</v>
      </c>
      <c r="D10" s="44"/>
      <c r="E10" s="44"/>
      <c r="F10" s="45">
        <v>10000</v>
      </c>
      <c r="I10" s="451" t="s">
        <v>299</v>
      </c>
      <c r="J10" s="454">
        <f>G102</f>
        <v>9918.3333333333339</v>
      </c>
    </row>
    <row r="11" spans="1:14">
      <c r="A11" s="293" t="s">
        <v>470</v>
      </c>
      <c r="B11" s="44"/>
      <c r="C11" s="44">
        <v>3</v>
      </c>
      <c r="D11" s="44"/>
      <c r="E11" s="44"/>
      <c r="F11" s="45">
        <v>10000</v>
      </c>
      <c r="I11" s="451" t="s">
        <v>300</v>
      </c>
      <c r="J11" s="455">
        <f>G133</f>
        <v>540</v>
      </c>
    </row>
    <row r="12" spans="1:14">
      <c r="A12" s="292" t="s">
        <v>145</v>
      </c>
      <c r="B12" s="44"/>
      <c r="C12" s="44">
        <v>3</v>
      </c>
      <c r="D12" s="44"/>
      <c r="E12" s="44"/>
      <c r="F12" s="45">
        <v>10000</v>
      </c>
      <c r="I12" s="456"/>
      <c r="J12" s="457"/>
    </row>
    <row r="13" spans="1:14">
      <c r="A13" s="425"/>
      <c r="B13" s="44"/>
      <c r="C13" s="44"/>
      <c r="D13" s="44"/>
      <c r="E13" s="44"/>
      <c r="F13" s="45"/>
      <c r="I13" s="458" t="s">
        <v>102</v>
      </c>
      <c r="J13" s="459">
        <f>SUM(J6:J12)</f>
        <v>11158.333333333334</v>
      </c>
    </row>
    <row r="14" spans="1:14">
      <c r="A14" s="426"/>
      <c r="B14" s="46"/>
      <c r="C14" s="46"/>
      <c r="D14" s="46"/>
      <c r="E14" s="46"/>
      <c r="F14" s="47"/>
      <c r="I14" s="465" t="s">
        <v>329</v>
      </c>
      <c r="J14" s="475">
        <v>0.8</v>
      </c>
    </row>
    <row r="15" spans="1:14">
      <c r="A15" s="294"/>
      <c r="B15" s="46"/>
      <c r="C15" s="46"/>
      <c r="D15" s="46"/>
      <c r="E15" s="46"/>
      <c r="F15" s="47"/>
      <c r="I15" s="468" t="s">
        <v>330</v>
      </c>
      <c r="J15" s="469">
        <f>J14*J13</f>
        <v>8926.6666666666679</v>
      </c>
    </row>
    <row r="16" spans="1:14">
      <c r="A16" s="295"/>
      <c r="B16" s="46"/>
      <c r="C16" s="46"/>
      <c r="D16" s="46"/>
      <c r="E16" s="46"/>
      <c r="F16" s="47"/>
    </row>
    <row r="17" spans="1:10">
      <c r="A17" s="48"/>
      <c r="B17" s="46"/>
      <c r="C17" s="46"/>
      <c r="D17" s="46"/>
      <c r="E17" s="46"/>
      <c r="F17" s="47"/>
      <c r="I17" s="505" t="s">
        <v>295</v>
      </c>
      <c r="J17" s="506"/>
    </row>
    <row r="18" spans="1:10">
      <c r="A18" s="49"/>
      <c r="B18" s="46"/>
      <c r="C18" s="46"/>
      <c r="D18" s="50"/>
      <c r="E18" s="46"/>
      <c r="F18" s="47"/>
      <c r="I18" s="449" t="s">
        <v>296</v>
      </c>
      <c r="J18" s="450">
        <f>B25</f>
        <v>44000</v>
      </c>
    </row>
    <row r="19" spans="1:10">
      <c r="A19" s="49"/>
      <c r="B19" s="46"/>
      <c r="C19" s="46"/>
      <c r="D19" s="50"/>
      <c r="E19" s="46"/>
      <c r="F19" s="47"/>
      <c r="I19" s="451" t="s">
        <v>297</v>
      </c>
      <c r="J19" s="452">
        <f>F42</f>
        <v>700</v>
      </c>
    </row>
    <row r="20" spans="1:10">
      <c r="A20" s="49"/>
      <c r="B20" s="46"/>
      <c r="C20" s="46"/>
      <c r="D20" s="50"/>
      <c r="E20" s="46"/>
      <c r="F20" s="47"/>
      <c r="I20" s="451" t="s">
        <v>298</v>
      </c>
      <c r="J20" s="453">
        <f>B64</f>
        <v>10050</v>
      </c>
    </row>
    <row r="21" spans="1:10">
      <c r="A21" s="48"/>
      <c r="B21" s="46"/>
      <c r="C21" s="46"/>
      <c r="D21" s="50"/>
      <c r="E21" s="46"/>
      <c r="F21" s="45"/>
      <c r="I21" s="451" t="s">
        <v>304</v>
      </c>
      <c r="J21" s="453">
        <f>E102</f>
        <v>100300</v>
      </c>
    </row>
    <row r="22" spans="1:10">
      <c r="A22" s="51" t="s">
        <v>146</v>
      </c>
      <c r="B22" s="52">
        <f>SUM(B10:B21)</f>
        <v>0</v>
      </c>
      <c r="C22" s="52">
        <f>SUM(C10:C21)</f>
        <v>8.8000000000000007</v>
      </c>
      <c r="D22" s="52">
        <f>SUM(D10:D21)</f>
        <v>0</v>
      </c>
      <c r="E22" s="53">
        <f>SUM(E10:E21)</f>
        <v>0</v>
      </c>
      <c r="F22" s="137"/>
      <c r="I22" s="451" t="s">
        <v>300</v>
      </c>
      <c r="J22" s="454">
        <f>E133</f>
        <v>4800</v>
      </c>
    </row>
    <row r="23" spans="1:10">
      <c r="A23" s="54" t="s">
        <v>147</v>
      </c>
      <c r="B23" s="510">
        <f>C22+B22</f>
        <v>8.8000000000000007</v>
      </c>
      <c r="C23" s="511"/>
      <c r="D23" s="512">
        <f>E22+D22</f>
        <v>0</v>
      </c>
      <c r="E23" s="513"/>
      <c r="F23" s="137"/>
      <c r="I23" s="451"/>
      <c r="J23" s="455"/>
    </row>
    <row r="24" spans="1:10">
      <c r="A24" s="55" t="s">
        <v>148</v>
      </c>
      <c r="B24" s="514">
        <f>$F$10*(C10)+F11*C11+$F$12*(C12)+$F$13*(C13)+$F$14*(C14)+$F$15*(C15)+$F$16*(C16)+$F$17*C17+$F$18*C18+$F$19*C19+$F$20*C20+$F$21*C21</f>
        <v>88000</v>
      </c>
      <c r="C24" s="515"/>
      <c r="D24" s="516">
        <f>$F$10*(E10)+F11*E11+$F$12*(E12)+$F$13*(E13)+$F$14*(E14)+$F$15*(E15)+$F$16*(E16)+$F$17*E17+$F$18*E18+$F$16*E19+$F$20*E20+$F$21*E21</f>
        <v>0</v>
      </c>
      <c r="E24" s="517"/>
      <c r="F24" s="138"/>
      <c r="I24" s="456"/>
      <c r="J24" s="457"/>
    </row>
    <row r="25" spans="1:10">
      <c r="A25" s="56" t="s">
        <v>149</v>
      </c>
      <c r="B25" s="516">
        <f>(B24+D24)/2</f>
        <v>44000</v>
      </c>
      <c r="C25" s="518"/>
      <c r="D25" s="518"/>
      <c r="E25" s="518"/>
      <c r="F25" s="139"/>
      <c r="I25" s="458" t="s">
        <v>102</v>
      </c>
      <c r="J25" s="459">
        <f>SUM(J18:J24)</f>
        <v>159850</v>
      </c>
    </row>
    <row r="26" spans="1:10">
      <c r="A26" s="140"/>
      <c r="B26" s="141"/>
      <c r="C26" s="142"/>
      <c r="D26" s="142"/>
      <c r="E26" s="142"/>
      <c r="F26" s="143"/>
      <c r="I26" s="449" t="s">
        <v>305</v>
      </c>
      <c r="J26" s="476">
        <v>0.06</v>
      </c>
    </row>
    <row r="27" spans="1:10">
      <c r="F27" s="144"/>
      <c r="I27" s="466" t="s">
        <v>365</v>
      </c>
      <c r="J27" s="467">
        <f>J25*J14</f>
        <v>127880</v>
      </c>
    </row>
    <row r="28" spans="1:10">
      <c r="A28" s="58" t="s">
        <v>150</v>
      </c>
      <c r="B28" s="59"/>
      <c r="C28" s="59"/>
      <c r="D28" s="59"/>
      <c r="E28" s="59" t="s">
        <v>151</v>
      </c>
      <c r="F28" s="60" t="s">
        <v>152</v>
      </c>
    </row>
    <row r="29" spans="1:10">
      <c r="A29" s="61" t="s">
        <v>153</v>
      </c>
      <c r="B29" s="62" t="s">
        <v>154</v>
      </c>
      <c r="C29" s="62" t="s">
        <v>155</v>
      </c>
      <c r="D29" s="62" t="s">
        <v>156</v>
      </c>
      <c r="E29" s="62" t="s">
        <v>157</v>
      </c>
      <c r="F29" s="62" t="s">
        <v>16</v>
      </c>
    </row>
    <row r="30" spans="1:10">
      <c r="A30" s="296" t="str">
        <f t="shared" ref="A30:A41" si="0">A10</f>
        <v>Pastagem Nativa</v>
      </c>
      <c r="B30" s="297"/>
      <c r="C30" s="63">
        <f t="shared" ref="C30:C37" si="1">(C10+E10)/2</f>
        <v>1.4</v>
      </c>
      <c r="D30" s="64">
        <f t="shared" ref="D30:D41" si="2">C30*B30</f>
        <v>0</v>
      </c>
      <c r="E30" s="298">
        <v>1</v>
      </c>
      <c r="F30" s="64">
        <f>D30/E30</f>
        <v>0</v>
      </c>
    </row>
    <row r="31" spans="1:10">
      <c r="A31" s="296" t="str">
        <f t="shared" si="0"/>
        <v>Pastagem Pangola</v>
      </c>
      <c r="B31" s="297">
        <v>1000</v>
      </c>
      <c r="C31" s="63">
        <f t="shared" si="1"/>
        <v>1.5</v>
      </c>
      <c r="D31" s="64">
        <f t="shared" si="2"/>
        <v>1500</v>
      </c>
      <c r="E31" s="298">
        <v>6</v>
      </c>
      <c r="F31" s="64">
        <f t="shared" ref="F31:F41" si="3">D31/E31</f>
        <v>250</v>
      </c>
    </row>
    <row r="32" spans="1:10">
      <c r="A32" s="296" t="str">
        <f>A12</f>
        <v>Palma</v>
      </c>
      <c r="B32" s="297">
        <v>3000</v>
      </c>
      <c r="C32" s="63">
        <f t="shared" si="1"/>
        <v>1.5</v>
      </c>
      <c r="D32" s="64">
        <f t="shared" si="2"/>
        <v>4500</v>
      </c>
      <c r="E32" s="298">
        <v>10</v>
      </c>
      <c r="F32" s="64">
        <f t="shared" si="3"/>
        <v>450</v>
      </c>
      <c r="I32" s="505" t="s">
        <v>382</v>
      </c>
      <c r="J32" s="506"/>
    </row>
    <row r="33" spans="1:11">
      <c r="A33" s="296">
        <f>A13</f>
        <v>0</v>
      </c>
      <c r="B33" s="297"/>
      <c r="C33" s="63">
        <f t="shared" si="1"/>
        <v>0</v>
      </c>
      <c r="D33" s="64">
        <f t="shared" si="2"/>
        <v>0</v>
      </c>
      <c r="E33" s="298">
        <v>1</v>
      </c>
      <c r="F33" s="64">
        <f t="shared" si="3"/>
        <v>0</v>
      </c>
      <c r="I33" s="165" t="s">
        <v>381</v>
      </c>
      <c r="J33" s="477">
        <v>788</v>
      </c>
    </row>
    <row r="34" spans="1:11">
      <c r="A34" s="296">
        <f t="shared" si="0"/>
        <v>0</v>
      </c>
      <c r="B34" s="297"/>
      <c r="C34" s="63">
        <f t="shared" si="1"/>
        <v>0</v>
      </c>
      <c r="D34" s="64">
        <f t="shared" si="2"/>
        <v>0</v>
      </c>
      <c r="E34" s="298">
        <v>1</v>
      </c>
      <c r="F34" s="64">
        <f t="shared" si="3"/>
        <v>0</v>
      </c>
      <c r="I34" s="165" t="s">
        <v>383</v>
      </c>
      <c r="J34" s="460">
        <f>J33</f>
        <v>788</v>
      </c>
    </row>
    <row r="35" spans="1:11">
      <c r="A35" s="296">
        <f t="shared" si="0"/>
        <v>0</v>
      </c>
      <c r="B35" s="297"/>
      <c r="C35" s="63">
        <f t="shared" si="1"/>
        <v>0</v>
      </c>
      <c r="D35" s="64">
        <f t="shared" si="2"/>
        <v>0</v>
      </c>
      <c r="E35" s="298">
        <v>1</v>
      </c>
      <c r="F35" s="64">
        <f t="shared" si="3"/>
        <v>0</v>
      </c>
      <c r="I35" s="165" t="s">
        <v>384</v>
      </c>
      <c r="J35" s="460">
        <f>J33*0.3</f>
        <v>236.39999999999998</v>
      </c>
    </row>
    <row r="36" spans="1:11">
      <c r="A36" s="296">
        <f t="shared" si="0"/>
        <v>0</v>
      </c>
      <c r="B36" s="297"/>
      <c r="C36" s="63">
        <f t="shared" si="1"/>
        <v>0</v>
      </c>
      <c r="D36" s="64">
        <f t="shared" si="2"/>
        <v>0</v>
      </c>
      <c r="E36" s="298">
        <v>1</v>
      </c>
      <c r="F36" s="64">
        <f t="shared" si="3"/>
        <v>0</v>
      </c>
      <c r="I36" s="461" t="s">
        <v>385</v>
      </c>
      <c r="J36" s="462">
        <f>(J33*12+J34+J35)/12</f>
        <v>873.36666666666667</v>
      </c>
    </row>
    <row r="37" spans="1:11">
      <c r="A37" s="296">
        <f t="shared" si="0"/>
        <v>0</v>
      </c>
      <c r="B37" s="297"/>
      <c r="C37" s="63">
        <f t="shared" si="1"/>
        <v>0</v>
      </c>
      <c r="D37" s="64">
        <f t="shared" si="2"/>
        <v>0</v>
      </c>
      <c r="E37" s="298">
        <v>1</v>
      </c>
      <c r="F37" s="64">
        <f t="shared" si="3"/>
        <v>0</v>
      </c>
    </row>
    <row r="38" spans="1:11">
      <c r="A38" s="296">
        <f t="shared" si="0"/>
        <v>0</v>
      </c>
      <c r="B38" s="297"/>
      <c r="C38" s="63">
        <f>(C18+E18)/2</f>
        <v>0</v>
      </c>
      <c r="D38" s="64">
        <f t="shared" si="2"/>
        <v>0</v>
      </c>
      <c r="E38" s="297">
        <v>1</v>
      </c>
      <c r="F38" s="64">
        <f>D38/E38</f>
        <v>0</v>
      </c>
    </row>
    <row r="39" spans="1:11">
      <c r="A39" s="296">
        <f t="shared" si="0"/>
        <v>0</v>
      </c>
      <c r="B39" s="297"/>
      <c r="C39" s="63">
        <f>(C19+E19)/2</f>
        <v>0</v>
      </c>
      <c r="D39" s="64">
        <f t="shared" si="2"/>
        <v>0</v>
      </c>
      <c r="E39" s="297">
        <v>1</v>
      </c>
      <c r="F39" s="64">
        <f t="shared" si="3"/>
        <v>0</v>
      </c>
    </row>
    <row r="40" spans="1:11">
      <c r="A40" s="296">
        <f t="shared" si="0"/>
        <v>0</v>
      </c>
      <c r="B40" s="297"/>
      <c r="C40" s="63">
        <f>(C20+E20)/2</f>
        <v>0</v>
      </c>
      <c r="D40" s="64">
        <f t="shared" si="2"/>
        <v>0</v>
      </c>
      <c r="E40" s="297">
        <v>1</v>
      </c>
      <c r="F40" s="64">
        <f t="shared" si="3"/>
        <v>0</v>
      </c>
    </row>
    <row r="41" spans="1:11">
      <c r="A41" s="296">
        <f t="shared" si="0"/>
        <v>0</v>
      </c>
      <c r="B41" s="297"/>
      <c r="C41" s="63">
        <f>(C21+E21)/2</f>
        <v>0</v>
      </c>
      <c r="D41" s="64">
        <f t="shared" si="2"/>
        <v>0</v>
      </c>
      <c r="E41" s="297">
        <v>1</v>
      </c>
      <c r="F41" s="64">
        <f t="shared" si="3"/>
        <v>0</v>
      </c>
    </row>
    <row r="42" spans="1:11" ht="15.75" thickBot="1">
      <c r="A42" s="65" t="s">
        <v>158</v>
      </c>
      <c r="B42" s="65"/>
      <c r="C42" s="65">
        <f>SUM(C30:C41)</f>
        <v>4.4000000000000004</v>
      </c>
      <c r="D42" s="66">
        <f>SUM(D30:D35)</f>
        <v>6000</v>
      </c>
      <c r="E42" s="66"/>
      <c r="F42" s="66">
        <f>SUM(F30:F41)</f>
        <v>700</v>
      </c>
      <c r="G42" s="213"/>
    </row>
    <row r="45" spans="1:11" ht="23.25">
      <c r="A45" s="131" t="s">
        <v>159</v>
      </c>
    </row>
    <row r="47" spans="1:11">
      <c r="A47" s="212" t="s">
        <v>117</v>
      </c>
      <c r="B47" s="67" t="s">
        <v>160</v>
      </c>
      <c r="C47" s="215" t="s">
        <v>161</v>
      </c>
      <c r="D47" s="68" t="s">
        <v>119</v>
      </c>
      <c r="E47" s="68" t="s">
        <v>120</v>
      </c>
      <c r="F47" s="68" t="s">
        <v>118</v>
      </c>
      <c r="G47" s="216" t="s">
        <v>162</v>
      </c>
      <c r="H47" s="217" t="s">
        <v>335</v>
      </c>
      <c r="I47" s="218" t="s">
        <v>163</v>
      </c>
      <c r="J47" s="219" t="s">
        <v>164</v>
      </c>
      <c r="K47" s="1" t="s">
        <v>406</v>
      </c>
    </row>
    <row r="48" spans="1:11">
      <c r="A48" s="299" t="s">
        <v>123</v>
      </c>
      <c r="B48" s="492">
        <v>0</v>
      </c>
      <c r="C48" s="214"/>
      <c r="D48" s="214"/>
      <c r="E48" s="214"/>
      <c r="F48" s="214"/>
      <c r="G48" s="300"/>
      <c r="H48" s="220">
        <v>0</v>
      </c>
      <c r="I48" s="69">
        <f>B48*H48</f>
        <v>0</v>
      </c>
      <c r="J48" s="70">
        <f>H48*G48</f>
        <v>0</v>
      </c>
      <c r="K48" s="421">
        <f>J48-I48</f>
        <v>0</v>
      </c>
    </row>
    <row r="49" spans="1:11">
      <c r="A49" s="301" t="s">
        <v>121</v>
      </c>
      <c r="B49" s="491">
        <v>7</v>
      </c>
      <c r="C49" s="214"/>
      <c r="D49" s="214"/>
      <c r="E49" s="214"/>
      <c r="F49" s="214"/>
      <c r="G49" s="300"/>
      <c r="H49" s="220">
        <v>1500</v>
      </c>
      <c r="I49" s="69">
        <f t="shared" ref="I49:I56" si="4">B49*H49</f>
        <v>10500</v>
      </c>
      <c r="J49" s="70">
        <f t="shared" ref="J49:J56" si="5">H49*G49</f>
        <v>0</v>
      </c>
      <c r="K49" s="421">
        <f t="shared" ref="K49:K57" si="6">J49-I49</f>
        <v>-10500</v>
      </c>
    </row>
    <row r="50" spans="1:11">
      <c r="A50" s="301" t="s">
        <v>165</v>
      </c>
      <c r="B50" s="491">
        <v>2</v>
      </c>
      <c r="C50" s="214"/>
      <c r="D50" s="214"/>
      <c r="E50" s="214"/>
      <c r="F50" s="214"/>
      <c r="G50" s="300"/>
      <c r="H50" s="220">
        <v>1500</v>
      </c>
      <c r="I50" s="69">
        <f t="shared" si="4"/>
        <v>3000</v>
      </c>
      <c r="J50" s="70">
        <f t="shared" si="5"/>
        <v>0</v>
      </c>
      <c r="K50" s="421">
        <f t="shared" si="6"/>
        <v>-3000</v>
      </c>
    </row>
    <row r="51" spans="1:11">
      <c r="A51" s="301" t="s">
        <v>124</v>
      </c>
      <c r="B51" s="491">
        <v>0</v>
      </c>
      <c r="C51" s="214"/>
      <c r="D51" s="214"/>
      <c r="E51" s="214"/>
      <c r="F51" s="214"/>
      <c r="G51" s="300"/>
      <c r="H51" s="220">
        <v>0</v>
      </c>
      <c r="I51" s="69">
        <f t="shared" si="4"/>
        <v>0</v>
      </c>
      <c r="J51" s="70">
        <f t="shared" si="5"/>
        <v>0</v>
      </c>
      <c r="K51" s="421">
        <f t="shared" si="6"/>
        <v>0</v>
      </c>
    </row>
    <row r="52" spans="1:11">
      <c r="A52" s="301" t="s">
        <v>166</v>
      </c>
      <c r="B52" s="491">
        <v>4</v>
      </c>
      <c r="C52" s="214"/>
      <c r="D52" s="214"/>
      <c r="E52" s="214"/>
      <c r="F52" s="214"/>
      <c r="G52" s="300"/>
      <c r="H52" s="220">
        <v>400</v>
      </c>
      <c r="I52" s="69">
        <f t="shared" si="4"/>
        <v>1600</v>
      </c>
      <c r="J52" s="70">
        <f t="shared" si="5"/>
        <v>0</v>
      </c>
      <c r="K52" s="421">
        <f t="shared" si="6"/>
        <v>-1600</v>
      </c>
    </row>
    <row r="53" spans="1:11">
      <c r="A53" s="301" t="s">
        <v>167</v>
      </c>
      <c r="B53" s="491">
        <v>3</v>
      </c>
      <c r="C53" s="214"/>
      <c r="D53" s="214"/>
      <c r="E53" s="214"/>
      <c r="F53" s="214"/>
      <c r="G53" s="300"/>
      <c r="H53" s="220">
        <v>600</v>
      </c>
      <c r="I53" s="69">
        <f t="shared" si="4"/>
        <v>1800</v>
      </c>
      <c r="J53" s="70">
        <f t="shared" si="5"/>
        <v>0</v>
      </c>
      <c r="K53" s="421">
        <f t="shared" si="6"/>
        <v>-1800</v>
      </c>
    </row>
    <row r="54" spans="1:11">
      <c r="A54" s="301" t="s">
        <v>168</v>
      </c>
      <c r="B54" s="491">
        <v>4</v>
      </c>
      <c r="C54" s="214"/>
      <c r="D54" s="214"/>
      <c r="E54" s="214"/>
      <c r="F54" s="214"/>
      <c r="G54" s="300"/>
      <c r="H54" s="220">
        <v>800</v>
      </c>
      <c r="I54" s="69">
        <f t="shared" si="4"/>
        <v>3200</v>
      </c>
      <c r="J54" s="70">
        <f t="shared" si="5"/>
        <v>0</v>
      </c>
      <c r="K54" s="421">
        <f t="shared" si="6"/>
        <v>-3200</v>
      </c>
    </row>
    <row r="55" spans="1:11">
      <c r="A55" s="301"/>
      <c r="B55" s="71"/>
      <c r="C55" s="214"/>
      <c r="D55" s="214"/>
      <c r="E55" s="214"/>
      <c r="F55" s="214"/>
      <c r="G55" s="300"/>
      <c r="H55" s="220"/>
      <c r="I55" s="69">
        <f t="shared" si="4"/>
        <v>0</v>
      </c>
      <c r="J55" s="70">
        <f t="shared" si="5"/>
        <v>0</v>
      </c>
      <c r="K55" s="421">
        <f t="shared" si="6"/>
        <v>0</v>
      </c>
    </row>
    <row r="56" spans="1:11">
      <c r="A56" s="302"/>
      <c r="B56" s="71"/>
      <c r="C56" s="214"/>
      <c r="D56" s="214"/>
      <c r="E56" s="214"/>
      <c r="F56" s="214"/>
      <c r="G56" s="303">
        <f>SUM(G48:G55)</f>
        <v>0</v>
      </c>
      <c r="H56" s="220"/>
      <c r="I56" s="69">
        <f t="shared" si="4"/>
        <v>0</v>
      </c>
      <c r="J56" s="70">
        <f t="shared" si="5"/>
        <v>0</v>
      </c>
      <c r="K56" s="421">
        <f t="shared" si="6"/>
        <v>0</v>
      </c>
    </row>
    <row r="57" spans="1:11">
      <c r="A57" s="212" t="s">
        <v>169</v>
      </c>
      <c r="B57" s="72">
        <f>SUM(B48:B56)</f>
        <v>20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20</v>
      </c>
      <c r="H57" s="217"/>
      <c r="I57" s="73">
        <f>SUM(I48:I56)</f>
        <v>20100</v>
      </c>
      <c r="J57" s="74">
        <f>SUM(J48:J56)</f>
        <v>0</v>
      </c>
      <c r="K57" s="421">
        <f t="shared" si="6"/>
        <v>-20100</v>
      </c>
    </row>
    <row r="58" spans="1:11">
      <c r="A58" s="75" t="s">
        <v>125</v>
      </c>
      <c r="B58" s="71"/>
      <c r="C58" s="296"/>
      <c r="D58" s="296"/>
      <c r="E58" s="296"/>
      <c r="F58" s="296"/>
      <c r="G58" s="304"/>
      <c r="H58" s="305"/>
    </row>
    <row r="59" spans="1:11">
      <c r="A59" s="75" t="s">
        <v>126</v>
      </c>
      <c r="B59" s="71">
        <v>2</v>
      </c>
      <c r="C59" s="296"/>
      <c r="D59" s="296"/>
      <c r="E59" s="296"/>
      <c r="F59" s="296"/>
      <c r="G59" s="304"/>
      <c r="H59" s="304">
        <v>200</v>
      </c>
    </row>
    <row r="60" spans="1:11">
      <c r="A60" s="75" t="s">
        <v>127</v>
      </c>
      <c r="B60" s="71"/>
      <c r="C60" s="296"/>
      <c r="D60" s="296"/>
      <c r="E60" s="296"/>
      <c r="F60" s="296"/>
      <c r="G60" s="304"/>
      <c r="H60" s="306"/>
    </row>
    <row r="61" spans="1:11">
      <c r="A61" s="212" t="s">
        <v>170</v>
      </c>
      <c r="B61" s="76">
        <f t="shared" ref="B61:G61" si="7">SUM(B58:B60)</f>
        <v>2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307">
        <v>0</v>
      </c>
    </row>
    <row r="62" spans="1:11">
      <c r="A62" s="212" t="s">
        <v>171</v>
      </c>
      <c r="B62" s="78">
        <f>B61+B57</f>
        <v>22</v>
      </c>
      <c r="C62" s="79"/>
      <c r="D62" s="79"/>
      <c r="E62" s="79"/>
      <c r="F62" s="79"/>
      <c r="G62" s="78">
        <f>G61+G57</f>
        <v>20</v>
      </c>
      <c r="H62" s="221"/>
    </row>
    <row r="63" spans="1:11">
      <c r="A63" s="60" t="s">
        <v>172</v>
      </c>
      <c r="B63" s="57"/>
      <c r="C63" s="296"/>
      <c r="D63" s="296"/>
      <c r="E63" s="296"/>
      <c r="F63" s="296"/>
      <c r="G63" s="308"/>
      <c r="H63" s="309">
        <f>H62+H58</f>
        <v>0</v>
      </c>
    </row>
    <row r="64" spans="1:11">
      <c r="A64" s="80" t="s">
        <v>173</v>
      </c>
      <c r="B64" s="81">
        <f>(I57+J57)/2</f>
        <v>10050</v>
      </c>
      <c r="C64" s="310"/>
      <c r="D64" s="310"/>
      <c r="E64" s="310"/>
      <c r="F64" s="310"/>
      <c r="G64" s="310"/>
      <c r="H64" s="307"/>
    </row>
    <row r="66" spans="1:7">
      <c r="A66" s="82" t="s">
        <v>174</v>
      </c>
      <c r="B66" s="83">
        <f>J57-I57-B67</f>
        <v>-20100</v>
      </c>
    </row>
    <row r="67" spans="1:7">
      <c r="A67" s="84" t="s">
        <v>175</v>
      </c>
      <c r="B67" s="85"/>
    </row>
    <row r="68" spans="1:7">
      <c r="A68" s="57"/>
      <c r="B68" s="57"/>
    </row>
    <row r="69" spans="1:7">
      <c r="A69" s="86" t="s">
        <v>176</v>
      </c>
      <c r="B69" s="87"/>
    </row>
    <row r="70" spans="1:7">
      <c r="A70" s="88" t="s">
        <v>177</v>
      </c>
      <c r="B70" s="89">
        <f>(I48+J48)/2</f>
        <v>0</v>
      </c>
    </row>
    <row r="71" spans="1:7">
      <c r="A71" s="90" t="s">
        <v>178</v>
      </c>
      <c r="B71" s="311">
        <v>5</v>
      </c>
    </row>
    <row r="72" spans="1:7">
      <c r="A72" s="88" t="s">
        <v>179</v>
      </c>
      <c r="B72" s="91">
        <f>B70/B71</f>
        <v>0</v>
      </c>
    </row>
    <row r="73" spans="1:7">
      <c r="A73" s="90"/>
      <c r="B73" s="92"/>
    </row>
    <row r="74" spans="1:7">
      <c r="A74" s="88" t="s">
        <v>180</v>
      </c>
      <c r="B74" s="93">
        <f>G58*H58</f>
        <v>0</v>
      </c>
    </row>
    <row r="75" spans="1:7">
      <c r="A75" s="90" t="s">
        <v>181</v>
      </c>
      <c r="B75" s="311">
        <v>10</v>
      </c>
    </row>
    <row r="76" spans="1:7">
      <c r="A76" s="94" t="s">
        <v>182</v>
      </c>
      <c r="B76" s="95">
        <f>B74/B75</f>
        <v>0</v>
      </c>
    </row>
    <row r="80" spans="1:7">
      <c r="A80" s="146" t="s">
        <v>183</v>
      </c>
      <c r="B80" s="147"/>
      <c r="C80" s="145"/>
      <c r="D80" s="140"/>
      <c r="E80" s="140"/>
      <c r="F80" s="140"/>
      <c r="G80" s="140"/>
    </row>
    <row r="81" spans="1:7">
      <c r="A81" s="146"/>
      <c r="B81" s="148"/>
      <c r="C81" s="149"/>
      <c r="D81" s="519" t="s">
        <v>184</v>
      </c>
      <c r="E81" s="519"/>
      <c r="F81" s="150"/>
      <c r="G81" s="151" t="s">
        <v>152</v>
      </c>
    </row>
    <row r="82" spans="1:7">
      <c r="A82" s="67" t="s">
        <v>108</v>
      </c>
      <c r="B82" s="67" t="s">
        <v>3</v>
      </c>
      <c r="C82" s="104" t="s">
        <v>185</v>
      </c>
      <c r="D82" s="103" t="s">
        <v>186</v>
      </c>
      <c r="E82" s="103" t="s">
        <v>187</v>
      </c>
      <c r="F82" s="103" t="s">
        <v>188</v>
      </c>
      <c r="G82" s="103" t="s">
        <v>189</v>
      </c>
    </row>
    <row r="83" spans="1:7">
      <c r="A83" s="105" t="s">
        <v>190</v>
      </c>
      <c r="B83" s="106" t="s">
        <v>191</v>
      </c>
      <c r="C83" s="107">
        <v>1</v>
      </c>
      <c r="D83" s="108">
        <v>1600</v>
      </c>
      <c r="E83" s="109">
        <f>D83*C83</f>
        <v>1600</v>
      </c>
      <c r="F83" s="493">
        <v>10</v>
      </c>
      <c r="G83" s="463">
        <f>E83/F83</f>
        <v>160</v>
      </c>
    </row>
    <row r="84" spans="1:7">
      <c r="A84" s="110" t="s">
        <v>192</v>
      </c>
      <c r="B84" s="106" t="s">
        <v>191</v>
      </c>
      <c r="C84" s="107">
        <v>1</v>
      </c>
      <c r="D84" s="108">
        <v>500</v>
      </c>
      <c r="E84" s="109">
        <f t="shared" ref="E84:E90" si="8">D84*C84</f>
        <v>500</v>
      </c>
      <c r="F84" s="493">
        <v>10</v>
      </c>
      <c r="G84" s="463">
        <f t="shared" ref="G84:G90" si="9">E84/F84</f>
        <v>50</v>
      </c>
    </row>
    <row r="85" spans="1:7">
      <c r="A85" s="111" t="s">
        <v>193</v>
      </c>
      <c r="B85" s="106" t="s">
        <v>191</v>
      </c>
      <c r="C85" s="107">
        <v>1</v>
      </c>
      <c r="D85" s="108">
        <v>18000</v>
      </c>
      <c r="E85" s="109">
        <f t="shared" si="8"/>
        <v>18000</v>
      </c>
      <c r="F85" s="493">
        <v>10</v>
      </c>
      <c r="G85" s="463">
        <f t="shared" si="9"/>
        <v>1800</v>
      </c>
    </row>
    <row r="86" spans="1:7">
      <c r="A86" s="111" t="s">
        <v>194</v>
      </c>
      <c r="B86" s="106" t="s">
        <v>195</v>
      </c>
      <c r="C86" s="107">
        <v>25.4</v>
      </c>
      <c r="D86" s="108">
        <v>3000</v>
      </c>
      <c r="E86" s="109">
        <f t="shared" si="8"/>
        <v>76200</v>
      </c>
      <c r="F86" s="493">
        <v>10</v>
      </c>
      <c r="G86" s="463">
        <f t="shared" si="9"/>
        <v>7620</v>
      </c>
    </row>
    <row r="87" spans="1:7">
      <c r="A87" s="111" t="s">
        <v>471</v>
      </c>
      <c r="B87" s="106" t="s">
        <v>191</v>
      </c>
      <c r="C87" s="107">
        <v>1</v>
      </c>
      <c r="D87" s="108">
        <v>200</v>
      </c>
      <c r="E87" s="109">
        <f t="shared" si="8"/>
        <v>200</v>
      </c>
      <c r="F87" s="493">
        <v>6</v>
      </c>
      <c r="G87" s="463">
        <f t="shared" si="9"/>
        <v>33.333333333333336</v>
      </c>
    </row>
    <row r="88" spans="1:7">
      <c r="A88" s="111" t="s">
        <v>199</v>
      </c>
      <c r="B88" s="106" t="s">
        <v>191</v>
      </c>
      <c r="C88" s="107">
        <v>1</v>
      </c>
      <c r="D88" s="108">
        <v>1000</v>
      </c>
      <c r="E88" s="109">
        <f t="shared" si="8"/>
        <v>1000</v>
      </c>
      <c r="F88" s="493">
        <v>10</v>
      </c>
      <c r="G88" s="463">
        <f t="shared" si="9"/>
        <v>100</v>
      </c>
    </row>
    <row r="89" spans="1:7">
      <c r="A89" s="111" t="s">
        <v>196</v>
      </c>
      <c r="B89" s="106" t="s">
        <v>191</v>
      </c>
      <c r="C89" s="107">
        <v>1</v>
      </c>
      <c r="D89" s="108">
        <v>2500</v>
      </c>
      <c r="E89" s="109">
        <f t="shared" si="8"/>
        <v>2500</v>
      </c>
      <c r="F89" s="493">
        <v>20</v>
      </c>
      <c r="G89" s="463">
        <f t="shared" si="9"/>
        <v>125</v>
      </c>
    </row>
    <row r="90" spans="1:7">
      <c r="A90" s="111" t="s">
        <v>333</v>
      </c>
      <c r="B90" s="106" t="s">
        <v>191</v>
      </c>
      <c r="C90" s="107">
        <v>1</v>
      </c>
      <c r="D90" s="108">
        <v>300</v>
      </c>
      <c r="E90" s="109">
        <f t="shared" si="8"/>
        <v>300</v>
      </c>
      <c r="F90" s="493">
        <v>10</v>
      </c>
      <c r="G90" s="463">
        <f t="shared" si="9"/>
        <v>30</v>
      </c>
    </row>
    <row r="91" spans="1:7">
      <c r="A91" s="112" t="s">
        <v>197</v>
      </c>
      <c r="B91" s="106" t="s">
        <v>191</v>
      </c>
      <c r="C91" s="107">
        <v>0</v>
      </c>
      <c r="D91" s="108">
        <v>0</v>
      </c>
      <c r="E91" s="109">
        <f t="shared" ref="E91:E101" si="10">D91*C91</f>
        <v>0</v>
      </c>
      <c r="F91" s="312">
        <v>1</v>
      </c>
      <c r="G91" s="463">
        <f t="shared" ref="G91:G96" si="11">E91/F91</f>
        <v>0</v>
      </c>
    </row>
    <row r="92" spans="1:7">
      <c r="A92" s="112" t="s">
        <v>198</v>
      </c>
      <c r="B92" s="106" t="s">
        <v>191</v>
      </c>
      <c r="C92" s="107">
        <v>0</v>
      </c>
      <c r="D92" s="108">
        <v>0</v>
      </c>
      <c r="E92" s="109">
        <f t="shared" si="10"/>
        <v>0</v>
      </c>
      <c r="F92" s="312">
        <v>1</v>
      </c>
      <c r="G92" s="463">
        <f t="shared" si="11"/>
        <v>0</v>
      </c>
    </row>
    <row r="93" spans="1:7">
      <c r="A93" s="110" t="s">
        <v>199</v>
      </c>
      <c r="B93" s="113" t="s">
        <v>191</v>
      </c>
      <c r="C93" s="107">
        <v>0</v>
      </c>
      <c r="D93" s="108">
        <v>0</v>
      </c>
      <c r="E93" s="109">
        <f t="shared" si="10"/>
        <v>0</v>
      </c>
      <c r="F93" s="312">
        <v>1</v>
      </c>
      <c r="G93" s="463">
        <f t="shared" si="11"/>
        <v>0</v>
      </c>
    </row>
    <row r="94" spans="1:7">
      <c r="A94" s="110" t="s">
        <v>333</v>
      </c>
      <c r="B94" s="113" t="s">
        <v>191</v>
      </c>
      <c r="C94" s="107">
        <v>0</v>
      </c>
      <c r="D94" s="108">
        <v>0</v>
      </c>
      <c r="E94" s="109">
        <f t="shared" si="10"/>
        <v>0</v>
      </c>
      <c r="F94" s="312">
        <v>1</v>
      </c>
      <c r="G94" s="463">
        <f t="shared" si="11"/>
        <v>0</v>
      </c>
    </row>
    <row r="95" spans="1:7">
      <c r="A95" s="114" t="s">
        <v>402</v>
      </c>
      <c r="B95" s="113" t="s">
        <v>21</v>
      </c>
      <c r="C95" s="107">
        <v>0</v>
      </c>
      <c r="D95" s="108">
        <v>0</v>
      </c>
      <c r="E95" s="109">
        <f t="shared" si="10"/>
        <v>0</v>
      </c>
      <c r="F95" s="312">
        <v>1</v>
      </c>
      <c r="G95" s="463">
        <f t="shared" si="11"/>
        <v>0</v>
      </c>
    </row>
    <row r="96" spans="1:7">
      <c r="A96" s="115"/>
      <c r="B96" s="113" t="s">
        <v>21</v>
      </c>
      <c r="C96" s="107"/>
      <c r="D96" s="108"/>
      <c r="E96" s="109">
        <f t="shared" si="10"/>
        <v>0</v>
      </c>
      <c r="F96" s="312">
        <v>1</v>
      </c>
      <c r="G96" s="463">
        <f t="shared" si="11"/>
        <v>0</v>
      </c>
    </row>
    <row r="97" spans="1:7">
      <c r="A97" s="116"/>
      <c r="B97" s="113" t="s">
        <v>21</v>
      </c>
      <c r="C97" s="107"/>
      <c r="D97" s="108"/>
      <c r="E97" s="109">
        <f t="shared" si="10"/>
        <v>0</v>
      </c>
      <c r="F97" s="312"/>
      <c r="G97" s="463"/>
    </row>
    <row r="98" spans="1:7">
      <c r="A98" s="116"/>
      <c r="B98" s="113" t="s">
        <v>21</v>
      </c>
      <c r="C98" s="107"/>
      <c r="D98" s="108"/>
      <c r="E98" s="109">
        <f t="shared" si="10"/>
        <v>0</v>
      </c>
      <c r="F98" s="312"/>
      <c r="G98" s="463"/>
    </row>
    <row r="99" spans="1:7">
      <c r="A99" s="116"/>
      <c r="B99" s="113" t="s">
        <v>21</v>
      </c>
      <c r="C99" s="107"/>
      <c r="D99" s="108"/>
      <c r="E99" s="109">
        <f t="shared" si="10"/>
        <v>0</v>
      </c>
      <c r="F99" s="312"/>
      <c r="G99" s="463"/>
    </row>
    <row r="100" spans="1:7">
      <c r="A100" s="116"/>
      <c r="B100" s="113" t="s">
        <v>21</v>
      </c>
      <c r="C100" s="107"/>
      <c r="D100" s="108"/>
      <c r="E100" s="109">
        <f t="shared" si="10"/>
        <v>0</v>
      </c>
      <c r="F100" s="312"/>
      <c r="G100" s="463"/>
    </row>
    <row r="101" spans="1:7">
      <c r="A101" s="116"/>
      <c r="B101" s="117" t="s">
        <v>21</v>
      </c>
      <c r="C101" s="107"/>
      <c r="D101" s="108"/>
      <c r="E101" s="109">
        <f t="shared" si="10"/>
        <v>0</v>
      </c>
      <c r="F101" s="312"/>
      <c r="G101" s="464"/>
    </row>
    <row r="102" spans="1:7">
      <c r="A102" s="508" t="s">
        <v>158</v>
      </c>
      <c r="B102" s="509"/>
      <c r="C102" s="118"/>
      <c r="D102" s="119"/>
      <c r="E102" s="120">
        <f>SUM(E83:E101)</f>
        <v>100300</v>
      </c>
      <c r="F102" s="120"/>
      <c r="G102" s="121">
        <f>SUM(G83:G101)</f>
        <v>9918.3333333333339</v>
      </c>
    </row>
    <row r="106" spans="1:7">
      <c r="A106" s="96" t="s">
        <v>200</v>
      </c>
      <c r="B106" s="97"/>
      <c r="C106" s="98"/>
      <c r="D106" s="99"/>
      <c r="E106" s="99"/>
      <c r="F106" s="122"/>
      <c r="G106" s="99"/>
    </row>
    <row r="107" spans="1:7">
      <c r="A107" s="96"/>
      <c r="B107" s="100"/>
      <c r="C107" s="101"/>
      <c r="D107" s="507" t="s">
        <v>184</v>
      </c>
      <c r="E107" s="507"/>
      <c r="F107" s="102"/>
      <c r="G107" s="103" t="s">
        <v>152</v>
      </c>
    </row>
    <row r="108" spans="1:7">
      <c r="A108" s="67" t="s">
        <v>108</v>
      </c>
      <c r="B108" s="67" t="s">
        <v>3</v>
      </c>
      <c r="C108" s="104" t="s">
        <v>185</v>
      </c>
      <c r="D108" s="103" t="s">
        <v>186</v>
      </c>
      <c r="E108" s="103" t="s">
        <v>187</v>
      </c>
      <c r="F108" s="103" t="s">
        <v>188</v>
      </c>
      <c r="G108" s="103" t="s">
        <v>189</v>
      </c>
    </row>
    <row r="109" spans="1:7">
      <c r="A109" s="111" t="s">
        <v>201</v>
      </c>
      <c r="B109" s="106" t="s">
        <v>202</v>
      </c>
      <c r="C109" s="123">
        <v>1</v>
      </c>
      <c r="D109" s="124">
        <v>3000</v>
      </c>
      <c r="E109" s="125">
        <f t="shared" ref="E109:E132" si="12">D109*C109</f>
        <v>3000</v>
      </c>
      <c r="F109" s="494">
        <v>10</v>
      </c>
      <c r="G109" s="463">
        <f>E109/F109</f>
        <v>300</v>
      </c>
    </row>
    <row r="110" spans="1:7">
      <c r="A110" s="111" t="s">
        <v>203</v>
      </c>
      <c r="B110" s="106" t="s">
        <v>202</v>
      </c>
      <c r="C110" s="123">
        <v>0</v>
      </c>
      <c r="D110" s="124">
        <v>5000</v>
      </c>
      <c r="E110" s="125">
        <f t="shared" si="12"/>
        <v>0</v>
      </c>
      <c r="F110" s="494">
        <v>10</v>
      </c>
      <c r="G110" s="463">
        <f t="shared" ref="G110:G132" si="13">E110/F110</f>
        <v>0</v>
      </c>
    </row>
    <row r="111" spans="1:7">
      <c r="A111" s="111" t="s">
        <v>204</v>
      </c>
      <c r="B111" s="106" t="s">
        <v>202</v>
      </c>
      <c r="C111" s="123">
        <v>0</v>
      </c>
      <c r="D111" s="124">
        <v>100</v>
      </c>
      <c r="E111" s="125">
        <f t="shared" si="12"/>
        <v>0</v>
      </c>
      <c r="F111" s="494">
        <v>8</v>
      </c>
      <c r="G111" s="463">
        <f t="shared" si="13"/>
        <v>0</v>
      </c>
    </row>
    <row r="112" spans="1:7">
      <c r="A112" s="111" t="s">
        <v>205</v>
      </c>
      <c r="B112" s="106" t="s">
        <v>202</v>
      </c>
      <c r="C112" s="123">
        <v>0</v>
      </c>
      <c r="D112" s="124">
        <v>20000</v>
      </c>
      <c r="E112" s="125">
        <f t="shared" si="12"/>
        <v>0</v>
      </c>
      <c r="F112" s="494">
        <v>15</v>
      </c>
      <c r="G112" s="463">
        <f t="shared" si="13"/>
        <v>0</v>
      </c>
    </row>
    <row r="113" spans="1:7">
      <c r="A113" s="111" t="s">
        <v>206</v>
      </c>
      <c r="B113" s="106" t="s">
        <v>202</v>
      </c>
      <c r="C113" s="123">
        <v>0</v>
      </c>
      <c r="D113" s="124">
        <v>3500</v>
      </c>
      <c r="E113" s="125">
        <f t="shared" si="12"/>
        <v>0</v>
      </c>
      <c r="F113" s="494">
        <v>10</v>
      </c>
      <c r="G113" s="463">
        <f t="shared" si="13"/>
        <v>0</v>
      </c>
    </row>
    <row r="114" spans="1:7">
      <c r="A114" s="111" t="s">
        <v>207</v>
      </c>
      <c r="B114" s="106" t="s">
        <v>202</v>
      </c>
      <c r="C114" s="123">
        <v>0</v>
      </c>
      <c r="D114" s="124">
        <v>2800</v>
      </c>
      <c r="E114" s="125">
        <f>D114*C114</f>
        <v>0</v>
      </c>
      <c r="F114" s="494">
        <v>10</v>
      </c>
      <c r="G114" s="463">
        <f t="shared" si="13"/>
        <v>0</v>
      </c>
    </row>
    <row r="115" spans="1:7">
      <c r="A115" s="111" t="s">
        <v>472</v>
      </c>
      <c r="B115" s="106" t="s">
        <v>202</v>
      </c>
      <c r="C115" s="123">
        <v>0</v>
      </c>
      <c r="D115" s="124">
        <v>2300</v>
      </c>
      <c r="E115" s="125">
        <f t="shared" si="12"/>
        <v>0</v>
      </c>
      <c r="F115" s="494">
        <v>12</v>
      </c>
      <c r="G115" s="463">
        <f t="shared" si="13"/>
        <v>0</v>
      </c>
    </row>
    <row r="116" spans="1:7">
      <c r="A116" s="111" t="s">
        <v>208</v>
      </c>
      <c r="B116" s="106" t="s">
        <v>202</v>
      </c>
      <c r="C116" s="123">
        <v>0</v>
      </c>
      <c r="D116" s="124">
        <v>7000</v>
      </c>
      <c r="E116" s="125">
        <f t="shared" si="12"/>
        <v>0</v>
      </c>
      <c r="F116" s="494">
        <v>8</v>
      </c>
      <c r="G116" s="463">
        <f t="shared" si="13"/>
        <v>0</v>
      </c>
    </row>
    <row r="117" spans="1:7">
      <c r="A117" s="110" t="s">
        <v>209</v>
      </c>
      <c r="B117" s="106" t="s">
        <v>202</v>
      </c>
      <c r="C117" s="123">
        <v>0</v>
      </c>
      <c r="D117" s="124">
        <v>4000</v>
      </c>
      <c r="E117" s="125">
        <f t="shared" si="12"/>
        <v>0</v>
      </c>
      <c r="F117" s="494">
        <v>15</v>
      </c>
      <c r="G117" s="463">
        <f t="shared" si="13"/>
        <v>0</v>
      </c>
    </row>
    <row r="118" spans="1:7">
      <c r="A118" s="110" t="s">
        <v>210</v>
      </c>
      <c r="B118" s="106" t="s">
        <v>202</v>
      </c>
      <c r="C118" s="123">
        <v>0</v>
      </c>
      <c r="D118" s="124">
        <v>2500</v>
      </c>
      <c r="E118" s="125">
        <f t="shared" si="12"/>
        <v>0</v>
      </c>
      <c r="F118" s="494">
        <v>5</v>
      </c>
      <c r="G118" s="463">
        <f t="shared" si="13"/>
        <v>0</v>
      </c>
    </row>
    <row r="119" spans="1:7">
      <c r="A119" s="111" t="s">
        <v>334</v>
      </c>
      <c r="B119" s="106" t="s">
        <v>202</v>
      </c>
      <c r="C119" s="123">
        <v>2</v>
      </c>
      <c r="D119" s="124">
        <v>700</v>
      </c>
      <c r="E119" s="125">
        <f t="shared" si="12"/>
        <v>1400</v>
      </c>
      <c r="F119" s="494">
        <v>8</v>
      </c>
      <c r="G119" s="463">
        <f t="shared" si="13"/>
        <v>175</v>
      </c>
    </row>
    <row r="120" spans="1:7">
      <c r="A120" s="111" t="s">
        <v>473</v>
      </c>
      <c r="B120" s="106" t="s">
        <v>202</v>
      </c>
      <c r="C120" s="123">
        <v>2</v>
      </c>
      <c r="D120" s="124">
        <v>100</v>
      </c>
      <c r="E120" s="125">
        <f t="shared" si="12"/>
        <v>200</v>
      </c>
      <c r="F120" s="494">
        <v>5</v>
      </c>
      <c r="G120" s="463">
        <f t="shared" si="13"/>
        <v>40</v>
      </c>
    </row>
    <row r="121" spans="1:7">
      <c r="A121" s="111" t="s">
        <v>474</v>
      </c>
      <c r="B121" s="106" t="s">
        <v>202</v>
      </c>
      <c r="C121" s="123">
        <v>0</v>
      </c>
      <c r="D121" s="124">
        <v>1200</v>
      </c>
      <c r="E121" s="125">
        <f t="shared" si="12"/>
        <v>0</v>
      </c>
      <c r="F121" s="494">
        <v>15</v>
      </c>
      <c r="G121" s="463">
        <f t="shared" si="13"/>
        <v>0</v>
      </c>
    </row>
    <row r="122" spans="1:7">
      <c r="A122" s="110" t="s">
        <v>211</v>
      </c>
      <c r="B122" s="106" t="s">
        <v>202</v>
      </c>
      <c r="C122" s="123">
        <v>0</v>
      </c>
      <c r="D122" s="124">
        <v>1600</v>
      </c>
      <c r="E122" s="125">
        <f t="shared" si="12"/>
        <v>0</v>
      </c>
      <c r="F122" s="494">
        <v>20</v>
      </c>
      <c r="G122" s="463">
        <f t="shared" si="13"/>
        <v>0</v>
      </c>
    </row>
    <row r="123" spans="1:7">
      <c r="A123" s="111" t="s">
        <v>475</v>
      </c>
      <c r="B123" s="106" t="s">
        <v>202</v>
      </c>
      <c r="C123" s="123">
        <v>0</v>
      </c>
      <c r="D123" s="124">
        <v>90000</v>
      </c>
      <c r="E123" s="125">
        <f t="shared" si="12"/>
        <v>0</v>
      </c>
      <c r="F123" s="494">
        <v>20</v>
      </c>
      <c r="G123" s="463">
        <f t="shared" si="13"/>
        <v>0</v>
      </c>
    </row>
    <row r="124" spans="1:7">
      <c r="A124" s="110" t="s">
        <v>212</v>
      </c>
      <c r="B124" s="106" t="s">
        <v>202</v>
      </c>
      <c r="C124" s="123">
        <v>0</v>
      </c>
      <c r="D124" s="124">
        <v>2000</v>
      </c>
      <c r="E124" s="125">
        <f t="shared" si="12"/>
        <v>0</v>
      </c>
      <c r="F124" s="494">
        <v>15</v>
      </c>
      <c r="G124" s="463">
        <f t="shared" si="13"/>
        <v>0</v>
      </c>
    </row>
    <row r="125" spans="1:7">
      <c r="A125" s="111" t="s">
        <v>213</v>
      </c>
      <c r="B125" s="106" t="s">
        <v>202</v>
      </c>
      <c r="C125" s="123">
        <v>0</v>
      </c>
      <c r="D125" s="124">
        <v>500</v>
      </c>
      <c r="E125" s="125">
        <f t="shared" si="12"/>
        <v>0</v>
      </c>
      <c r="F125" s="494">
        <v>15</v>
      </c>
      <c r="G125" s="463">
        <f t="shared" si="13"/>
        <v>0</v>
      </c>
    </row>
    <row r="126" spans="1:7">
      <c r="A126" s="111" t="s">
        <v>214</v>
      </c>
      <c r="B126" s="106" t="s">
        <v>202</v>
      </c>
      <c r="C126" s="123">
        <v>0</v>
      </c>
      <c r="D126" s="124">
        <v>500</v>
      </c>
      <c r="E126" s="125">
        <f t="shared" si="12"/>
        <v>0</v>
      </c>
      <c r="F126" s="494">
        <v>6</v>
      </c>
      <c r="G126" s="463">
        <f t="shared" si="13"/>
        <v>0</v>
      </c>
    </row>
    <row r="127" spans="1:7">
      <c r="A127" s="111" t="s">
        <v>215</v>
      </c>
      <c r="B127" s="106" t="s">
        <v>202</v>
      </c>
      <c r="C127" s="123">
        <v>0</v>
      </c>
      <c r="D127" s="124">
        <v>60</v>
      </c>
      <c r="E127" s="125">
        <f t="shared" si="12"/>
        <v>0</v>
      </c>
      <c r="F127" s="494">
        <v>5</v>
      </c>
      <c r="G127" s="463">
        <f t="shared" si="13"/>
        <v>0</v>
      </c>
    </row>
    <row r="128" spans="1:7">
      <c r="A128" s="111" t="s">
        <v>216</v>
      </c>
      <c r="B128" s="106" t="s">
        <v>202</v>
      </c>
      <c r="C128" s="123">
        <v>0</v>
      </c>
      <c r="D128" s="124">
        <v>1500</v>
      </c>
      <c r="E128" s="125">
        <f t="shared" si="12"/>
        <v>0</v>
      </c>
      <c r="F128" s="494">
        <v>20</v>
      </c>
      <c r="G128" s="463">
        <f t="shared" si="13"/>
        <v>0</v>
      </c>
    </row>
    <row r="129" spans="1:7">
      <c r="A129" s="111" t="s">
        <v>217</v>
      </c>
      <c r="B129" s="106" t="s">
        <v>202</v>
      </c>
      <c r="C129" s="123">
        <v>0</v>
      </c>
      <c r="D129" s="124">
        <v>700</v>
      </c>
      <c r="E129" s="125">
        <f t="shared" si="12"/>
        <v>0</v>
      </c>
      <c r="F129" s="494">
        <v>5</v>
      </c>
      <c r="G129" s="463">
        <f t="shared" si="13"/>
        <v>0</v>
      </c>
    </row>
    <row r="130" spans="1:7">
      <c r="A130" s="111" t="s">
        <v>218</v>
      </c>
      <c r="B130" s="106" t="s">
        <v>202</v>
      </c>
      <c r="C130" s="123">
        <v>0</v>
      </c>
      <c r="D130" s="124">
        <v>3500</v>
      </c>
      <c r="E130" s="125">
        <f t="shared" si="12"/>
        <v>0</v>
      </c>
      <c r="F130" s="494">
        <v>5</v>
      </c>
      <c r="G130" s="463">
        <f t="shared" si="13"/>
        <v>0</v>
      </c>
    </row>
    <row r="131" spans="1:7">
      <c r="A131" s="111" t="s">
        <v>476</v>
      </c>
      <c r="B131" s="106" t="s">
        <v>202</v>
      </c>
      <c r="C131" s="123">
        <v>1</v>
      </c>
      <c r="D131" s="124">
        <v>200</v>
      </c>
      <c r="E131" s="125">
        <f t="shared" si="12"/>
        <v>200</v>
      </c>
      <c r="F131" s="494">
        <v>8</v>
      </c>
      <c r="G131" s="463">
        <f t="shared" si="13"/>
        <v>25</v>
      </c>
    </row>
    <row r="132" spans="1:7">
      <c r="A132" s="111" t="s">
        <v>55</v>
      </c>
      <c r="B132" s="106" t="s">
        <v>202</v>
      </c>
      <c r="C132" s="123">
        <v>0</v>
      </c>
      <c r="D132" s="124">
        <v>2000</v>
      </c>
      <c r="E132" s="125">
        <f t="shared" si="12"/>
        <v>0</v>
      </c>
      <c r="F132" s="494">
        <v>20</v>
      </c>
      <c r="G132" s="463">
        <f t="shared" si="13"/>
        <v>0</v>
      </c>
    </row>
    <row r="133" spans="1:7">
      <c r="A133" s="508" t="s">
        <v>158</v>
      </c>
      <c r="B133" s="509"/>
      <c r="C133" s="126"/>
      <c r="D133" s="127"/>
      <c r="E133" s="128">
        <f>SUM(E109:E132)</f>
        <v>4800</v>
      </c>
      <c r="F133" s="129"/>
      <c r="G133" s="130">
        <f>SUM(G109:G132)</f>
        <v>540</v>
      </c>
    </row>
  </sheetData>
  <mergeCells count="17">
    <mergeCell ref="A2:E4"/>
    <mergeCell ref="B6:C6"/>
    <mergeCell ref="D6:E6"/>
    <mergeCell ref="B7:C7"/>
    <mergeCell ref="D7:E7"/>
    <mergeCell ref="I32:J32"/>
    <mergeCell ref="I5:J5"/>
    <mergeCell ref="I17:J17"/>
    <mergeCell ref="D107:E107"/>
    <mergeCell ref="A133:B133"/>
    <mergeCell ref="B23:C23"/>
    <mergeCell ref="D23:E23"/>
    <mergeCell ref="B24:C24"/>
    <mergeCell ref="D24:E24"/>
    <mergeCell ref="B25:E25"/>
    <mergeCell ref="D81:E81"/>
    <mergeCell ref="A102:B10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2:AW98"/>
  <sheetViews>
    <sheetView topLeftCell="A65" workbookViewId="0">
      <pane xSplit="1" topLeftCell="M1" activePane="topRight" state="frozen"/>
      <selection activeCell="A32" sqref="A32"/>
      <selection pane="topRight" activeCell="U85" sqref="U85"/>
    </sheetView>
  </sheetViews>
  <sheetFormatPr defaultRowHeight="15"/>
  <cols>
    <col min="1" max="1" width="46.85546875" style="1" bestFit="1" customWidth="1"/>
    <col min="2" max="2" width="6.5703125" style="1" bestFit="1" customWidth="1"/>
    <col min="3" max="4" width="12.5703125" style="222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>
      <c r="A2" s="528" t="s">
        <v>131</v>
      </c>
      <c r="B2" s="529"/>
    </row>
    <row r="3" spans="1:49">
      <c r="A3" s="529"/>
      <c r="B3" s="529"/>
    </row>
    <row r="4" spans="1:49" ht="15.75" thickBot="1">
      <c r="A4" s="530"/>
      <c r="B4" s="530"/>
    </row>
    <row r="5" spans="1:49" ht="15.75" thickBot="1">
      <c r="A5" s="7" t="s">
        <v>108</v>
      </c>
      <c r="B5" s="525" t="s">
        <v>4</v>
      </c>
      <c r="C5" s="526"/>
      <c r="D5" s="527"/>
      <c r="E5" s="525" t="s">
        <v>5</v>
      </c>
      <c r="F5" s="526"/>
      <c r="G5" s="527"/>
      <c r="H5" s="525" t="s">
        <v>6</v>
      </c>
      <c r="I5" s="526"/>
      <c r="J5" s="527"/>
      <c r="K5" s="525" t="s">
        <v>7</v>
      </c>
      <c r="L5" s="526"/>
      <c r="M5" s="527"/>
      <c r="N5" s="525" t="s">
        <v>8</v>
      </c>
      <c r="O5" s="526"/>
      <c r="P5" s="527"/>
      <c r="Q5" s="525" t="s">
        <v>41</v>
      </c>
      <c r="R5" s="526"/>
      <c r="S5" s="527"/>
      <c r="T5" s="525" t="s">
        <v>42</v>
      </c>
      <c r="U5" s="526"/>
      <c r="V5" s="527"/>
      <c r="W5" s="525" t="s">
        <v>53</v>
      </c>
      <c r="X5" s="526"/>
      <c r="Y5" s="527"/>
      <c r="Z5" s="525" t="s">
        <v>44</v>
      </c>
      <c r="AA5" s="526"/>
      <c r="AB5" s="527"/>
      <c r="AC5" s="525" t="s">
        <v>45</v>
      </c>
      <c r="AD5" s="526"/>
      <c r="AE5" s="527"/>
      <c r="AF5" s="525" t="s">
        <v>46</v>
      </c>
      <c r="AG5" s="526"/>
      <c r="AH5" s="527"/>
      <c r="AI5" s="525" t="s">
        <v>47</v>
      </c>
      <c r="AJ5" s="526"/>
      <c r="AK5" s="527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>
      <c r="A6" s="7" t="s">
        <v>56</v>
      </c>
      <c r="B6" s="9" t="s">
        <v>100</v>
      </c>
      <c r="C6" s="236" t="s">
        <v>101</v>
      </c>
      <c r="D6" s="223" t="s">
        <v>102</v>
      </c>
      <c r="E6" s="9" t="s">
        <v>100</v>
      </c>
      <c r="F6" s="236" t="s">
        <v>101</v>
      </c>
      <c r="G6" s="223" t="s">
        <v>102</v>
      </c>
      <c r="H6" s="9" t="s">
        <v>100</v>
      </c>
      <c r="I6" s="236" t="s">
        <v>101</v>
      </c>
      <c r="J6" s="223" t="s">
        <v>102</v>
      </c>
      <c r="K6" s="9" t="s">
        <v>100</v>
      </c>
      <c r="L6" s="236" t="s">
        <v>101</v>
      </c>
      <c r="M6" s="223" t="s">
        <v>102</v>
      </c>
      <c r="N6" s="9" t="s">
        <v>100</v>
      </c>
      <c r="O6" s="236" t="s">
        <v>101</v>
      </c>
      <c r="P6" s="223" t="s">
        <v>102</v>
      </c>
      <c r="Q6" s="9" t="s">
        <v>100</v>
      </c>
      <c r="R6" s="236" t="s">
        <v>101</v>
      </c>
      <c r="S6" s="223" t="s">
        <v>102</v>
      </c>
      <c r="T6" s="9" t="s">
        <v>100</v>
      </c>
      <c r="U6" s="236" t="s">
        <v>101</v>
      </c>
      <c r="V6" s="223" t="s">
        <v>102</v>
      </c>
      <c r="W6" s="9" t="s">
        <v>100</v>
      </c>
      <c r="X6" s="236" t="s">
        <v>101</v>
      </c>
      <c r="Y6" s="223" t="s">
        <v>102</v>
      </c>
      <c r="Z6" s="9" t="s">
        <v>100</v>
      </c>
      <c r="AA6" s="236" t="s">
        <v>101</v>
      </c>
      <c r="AB6" s="223" t="s">
        <v>102</v>
      </c>
      <c r="AC6" s="9" t="s">
        <v>100</v>
      </c>
      <c r="AD6" s="236" t="s">
        <v>101</v>
      </c>
      <c r="AE6" s="223" t="s">
        <v>102</v>
      </c>
      <c r="AF6" s="9" t="s">
        <v>100</v>
      </c>
      <c r="AG6" s="236" t="s">
        <v>101</v>
      </c>
      <c r="AH6" s="223" t="s">
        <v>102</v>
      </c>
      <c r="AI6" s="9" t="s">
        <v>100</v>
      </c>
      <c r="AJ6" s="236" t="s">
        <v>101</v>
      </c>
      <c r="AK6" s="223" t="s">
        <v>102</v>
      </c>
    </row>
    <row r="7" spans="1:49">
      <c r="A7" s="5" t="s">
        <v>259</v>
      </c>
      <c r="B7" s="313">
        <v>0</v>
      </c>
      <c r="C7" s="495">
        <v>0</v>
      </c>
      <c r="D7" s="224">
        <f>B7*C7</f>
        <v>0</v>
      </c>
      <c r="E7" s="313">
        <v>0</v>
      </c>
      <c r="F7" s="314">
        <v>0</v>
      </c>
      <c r="G7" s="224">
        <f t="shared" ref="G7:G12" si="0">E7*F7</f>
        <v>0</v>
      </c>
      <c r="H7" s="313"/>
      <c r="I7" s="314"/>
      <c r="J7" s="224">
        <f t="shared" ref="J7:J12" si="1">H7*I7</f>
        <v>0</v>
      </c>
      <c r="K7" s="313"/>
      <c r="L7" s="314"/>
      <c r="M7" s="224">
        <f t="shared" ref="M7:M12" si="2">K7*L7</f>
        <v>0</v>
      </c>
      <c r="N7" s="313"/>
      <c r="O7" s="314"/>
      <c r="P7" s="224">
        <f t="shared" ref="P7:P12" si="3">N7*O7</f>
        <v>0</v>
      </c>
      <c r="Q7" s="313"/>
      <c r="R7" s="314"/>
      <c r="S7" s="224">
        <f t="shared" ref="S7:S12" si="4">Q7*R7</f>
        <v>0</v>
      </c>
      <c r="T7" s="313"/>
      <c r="U7" s="314"/>
      <c r="V7" s="224">
        <f t="shared" ref="V7:V12" si="5">T7*U7</f>
        <v>0</v>
      </c>
      <c r="W7" s="313"/>
      <c r="X7" s="314"/>
      <c r="Y7" s="224">
        <f t="shared" ref="Y7:Y12" si="6">W7*X7</f>
        <v>0</v>
      </c>
      <c r="Z7" s="313"/>
      <c r="AA7" s="314"/>
      <c r="AB7" s="224">
        <f t="shared" ref="AB7:AB12" si="7">Z7*AA7</f>
        <v>0</v>
      </c>
      <c r="AC7" s="313"/>
      <c r="AD7" s="314"/>
      <c r="AE7" s="224">
        <f t="shared" ref="AE7:AE12" si="8">AC7*AD7</f>
        <v>0</v>
      </c>
      <c r="AF7" s="313"/>
      <c r="AG7" s="314"/>
      <c r="AH7" s="224">
        <f t="shared" ref="AH7:AH12" si="9">AF7*AG7</f>
        <v>0</v>
      </c>
      <c r="AI7" s="313"/>
      <c r="AJ7" s="314"/>
      <c r="AK7" s="224">
        <f t="shared" ref="AK7:AK12" si="10">AI7*AJ7</f>
        <v>0</v>
      </c>
    </row>
    <row r="8" spans="1:49">
      <c r="A8" s="5" t="s">
        <v>260</v>
      </c>
      <c r="B8" s="315">
        <v>1662</v>
      </c>
      <c r="C8" s="496">
        <v>0.84899999999999998</v>
      </c>
      <c r="D8" s="225">
        <f t="shared" ref="D8:D12" si="11">B8*C8</f>
        <v>1411.038</v>
      </c>
      <c r="E8" s="315">
        <v>1476</v>
      </c>
      <c r="F8" s="316">
        <v>0.85</v>
      </c>
      <c r="G8" s="225">
        <f t="shared" si="0"/>
        <v>1254.5999999999999</v>
      </c>
      <c r="H8" s="315">
        <v>1545</v>
      </c>
      <c r="I8" s="316">
        <v>0.9</v>
      </c>
      <c r="J8" s="225">
        <f t="shared" si="1"/>
        <v>1390.5</v>
      </c>
      <c r="K8" s="315">
        <v>1440</v>
      </c>
      <c r="L8" s="496">
        <v>0.877</v>
      </c>
      <c r="M8" s="225">
        <f t="shared" si="2"/>
        <v>1262.8800000000001</v>
      </c>
      <c r="N8" s="315">
        <v>957.9</v>
      </c>
      <c r="O8" s="316">
        <v>0.9</v>
      </c>
      <c r="P8" s="225">
        <f t="shared" si="3"/>
        <v>862.11</v>
      </c>
      <c r="Q8" s="315">
        <v>1253</v>
      </c>
      <c r="R8" s="316">
        <v>0.94489999999999996</v>
      </c>
      <c r="S8" s="225">
        <f t="shared" si="4"/>
        <v>1183.9596999999999</v>
      </c>
      <c r="T8" s="315">
        <v>1855</v>
      </c>
      <c r="U8" s="316">
        <v>0.95</v>
      </c>
      <c r="V8" s="225">
        <f t="shared" si="5"/>
        <v>1762.25</v>
      </c>
      <c r="W8" s="315"/>
      <c r="X8" s="316"/>
      <c r="Y8" s="225">
        <f t="shared" si="6"/>
        <v>0</v>
      </c>
      <c r="Z8" s="315"/>
      <c r="AA8" s="316"/>
      <c r="AB8" s="225">
        <f t="shared" si="7"/>
        <v>0</v>
      </c>
      <c r="AC8" s="315"/>
      <c r="AD8" s="316"/>
      <c r="AE8" s="225">
        <f t="shared" si="8"/>
        <v>0</v>
      </c>
      <c r="AF8" s="315"/>
      <c r="AG8" s="316"/>
      <c r="AH8" s="225">
        <f t="shared" si="9"/>
        <v>0</v>
      </c>
      <c r="AI8" s="315"/>
      <c r="AJ8" s="316"/>
      <c r="AK8" s="225">
        <f t="shared" si="10"/>
        <v>0</v>
      </c>
    </row>
    <row r="9" spans="1:49">
      <c r="A9" s="5" t="s">
        <v>345</v>
      </c>
      <c r="B9" s="315">
        <v>1</v>
      </c>
      <c r="C9" s="316">
        <v>1600</v>
      </c>
      <c r="D9" s="225">
        <f t="shared" si="11"/>
        <v>1600</v>
      </c>
      <c r="E9" s="315"/>
      <c r="F9" s="316"/>
      <c r="G9" s="225">
        <f t="shared" si="0"/>
        <v>0</v>
      </c>
      <c r="H9" s="315"/>
      <c r="I9" s="316"/>
      <c r="J9" s="225">
        <f t="shared" si="1"/>
        <v>0</v>
      </c>
      <c r="K9" s="315"/>
      <c r="L9" s="316"/>
      <c r="M9" s="225">
        <f t="shared" si="2"/>
        <v>0</v>
      </c>
      <c r="N9" s="315"/>
      <c r="O9" s="316"/>
      <c r="P9" s="225">
        <f t="shared" si="3"/>
        <v>0</v>
      </c>
      <c r="Q9" s="315"/>
      <c r="R9" s="316"/>
      <c r="S9" s="225">
        <f t="shared" si="4"/>
        <v>0</v>
      </c>
      <c r="T9" s="315"/>
      <c r="U9" s="316"/>
      <c r="V9" s="225">
        <f t="shared" si="5"/>
        <v>0</v>
      </c>
      <c r="W9" s="315"/>
      <c r="X9" s="316"/>
      <c r="Y9" s="225">
        <f t="shared" si="6"/>
        <v>0</v>
      </c>
      <c r="Z9" s="315"/>
      <c r="AA9" s="316"/>
      <c r="AB9" s="225">
        <f t="shared" si="7"/>
        <v>0</v>
      </c>
      <c r="AC9" s="315"/>
      <c r="AD9" s="316"/>
      <c r="AE9" s="225">
        <f t="shared" si="8"/>
        <v>0</v>
      </c>
      <c r="AF9" s="315"/>
      <c r="AG9" s="316"/>
      <c r="AH9" s="225">
        <f t="shared" si="9"/>
        <v>0</v>
      </c>
      <c r="AI9" s="315"/>
      <c r="AJ9" s="316"/>
      <c r="AK9" s="225">
        <f t="shared" si="10"/>
        <v>0</v>
      </c>
    </row>
    <row r="10" spans="1:49">
      <c r="A10" s="5" t="s">
        <v>54</v>
      </c>
      <c r="B10" s="315"/>
      <c r="C10" s="316"/>
      <c r="D10" s="225">
        <f t="shared" si="11"/>
        <v>0</v>
      </c>
      <c r="E10" s="315"/>
      <c r="F10" s="316"/>
      <c r="G10" s="225">
        <f t="shared" si="0"/>
        <v>0</v>
      </c>
      <c r="H10" s="315"/>
      <c r="I10" s="316"/>
      <c r="J10" s="225">
        <f t="shared" si="1"/>
        <v>0</v>
      </c>
      <c r="K10" s="315"/>
      <c r="L10" s="316"/>
      <c r="M10" s="225">
        <f t="shared" si="2"/>
        <v>0</v>
      </c>
      <c r="N10" s="315"/>
      <c r="O10" s="316"/>
      <c r="P10" s="225">
        <f t="shared" si="3"/>
        <v>0</v>
      </c>
      <c r="Q10" s="315"/>
      <c r="R10" s="316"/>
      <c r="S10" s="225">
        <f t="shared" si="4"/>
        <v>0</v>
      </c>
      <c r="T10" s="315"/>
      <c r="U10" s="316"/>
      <c r="V10" s="225">
        <f t="shared" si="5"/>
        <v>0</v>
      </c>
      <c r="W10" s="315"/>
      <c r="X10" s="316"/>
      <c r="Y10" s="225">
        <f t="shared" si="6"/>
        <v>0</v>
      </c>
      <c r="Z10" s="315"/>
      <c r="AA10" s="316"/>
      <c r="AB10" s="225">
        <f t="shared" si="7"/>
        <v>0</v>
      </c>
      <c r="AC10" s="315"/>
      <c r="AD10" s="316"/>
      <c r="AE10" s="225">
        <f t="shared" si="8"/>
        <v>0</v>
      </c>
      <c r="AF10" s="315"/>
      <c r="AG10" s="316"/>
      <c r="AH10" s="225">
        <f t="shared" si="9"/>
        <v>0</v>
      </c>
      <c r="AI10" s="315"/>
      <c r="AJ10" s="316"/>
      <c r="AK10" s="225">
        <f t="shared" si="10"/>
        <v>0</v>
      </c>
    </row>
    <row r="11" spans="1:49">
      <c r="A11" s="5" t="s">
        <v>261</v>
      </c>
      <c r="B11" s="315"/>
      <c r="C11" s="316"/>
      <c r="D11" s="225">
        <f t="shared" si="11"/>
        <v>0</v>
      </c>
      <c r="E11" s="315"/>
      <c r="F11" s="316"/>
      <c r="G11" s="225">
        <f t="shared" si="0"/>
        <v>0</v>
      </c>
      <c r="H11" s="315"/>
      <c r="I11" s="316"/>
      <c r="J11" s="225">
        <f t="shared" si="1"/>
        <v>0</v>
      </c>
      <c r="K11" s="315"/>
      <c r="L11" s="316"/>
      <c r="M11" s="225">
        <f t="shared" si="2"/>
        <v>0</v>
      </c>
      <c r="N11" s="315"/>
      <c r="O11" s="316"/>
      <c r="P11" s="225">
        <f t="shared" si="3"/>
        <v>0</v>
      </c>
      <c r="Q11" s="315"/>
      <c r="R11" s="316"/>
      <c r="S11" s="225">
        <f t="shared" si="4"/>
        <v>0</v>
      </c>
      <c r="T11" s="315"/>
      <c r="U11" s="316"/>
      <c r="V11" s="225">
        <f t="shared" si="5"/>
        <v>0</v>
      </c>
      <c r="W11" s="315"/>
      <c r="X11" s="316"/>
      <c r="Y11" s="225">
        <f t="shared" si="6"/>
        <v>0</v>
      </c>
      <c r="Z11" s="315"/>
      <c r="AA11" s="316"/>
      <c r="AB11" s="225">
        <f t="shared" si="7"/>
        <v>0</v>
      </c>
      <c r="AC11" s="315"/>
      <c r="AD11" s="316"/>
      <c r="AE11" s="225">
        <f t="shared" si="8"/>
        <v>0</v>
      </c>
      <c r="AF11" s="315"/>
      <c r="AG11" s="316"/>
      <c r="AH11" s="225">
        <f t="shared" si="9"/>
        <v>0</v>
      </c>
      <c r="AI11" s="315"/>
      <c r="AJ11" s="316"/>
      <c r="AK11" s="225">
        <f t="shared" si="10"/>
        <v>0</v>
      </c>
    </row>
    <row r="12" spans="1:49" ht="15.75" thickBot="1">
      <c r="A12" s="5" t="s">
        <v>55</v>
      </c>
      <c r="B12" s="317"/>
      <c r="C12" s="318"/>
      <c r="D12" s="226">
        <f t="shared" si="11"/>
        <v>0</v>
      </c>
      <c r="E12" s="317"/>
      <c r="F12" s="318"/>
      <c r="G12" s="226">
        <f t="shared" si="0"/>
        <v>0</v>
      </c>
      <c r="H12" s="317"/>
      <c r="I12" s="318"/>
      <c r="J12" s="226">
        <f t="shared" si="1"/>
        <v>0</v>
      </c>
      <c r="K12" s="317"/>
      <c r="L12" s="318"/>
      <c r="M12" s="226">
        <f t="shared" si="2"/>
        <v>0</v>
      </c>
      <c r="N12" s="317"/>
      <c r="O12" s="318"/>
      <c r="P12" s="226">
        <f t="shared" si="3"/>
        <v>0</v>
      </c>
      <c r="Q12" s="317"/>
      <c r="R12" s="318"/>
      <c r="S12" s="226">
        <f t="shared" si="4"/>
        <v>0</v>
      </c>
      <c r="T12" s="317"/>
      <c r="U12" s="318"/>
      <c r="V12" s="226">
        <f t="shared" si="5"/>
        <v>0</v>
      </c>
      <c r="W12" s="317"/>
      <c r="X12" s="318"/>
      <c r="Y12" s="226">
        <f t="shared" si="6"/>
        <v>0</v>
      </c>
      <c r="Z12" s="317"/>
      <c r="AA12" s="318"/>
      <c r="AB12" s="226">
        <f t="shared" si="7"/>
        <v>0</v>
      </c>
      <c r="AC12" s="317"/>
      <c r="AD12" s="318"/>
      <c r="AE12" s="226">
        <f t="shared" si="8"/>
        <v>0</v>
      </c>
      <c r="AF12" s="317"/>
      <c r="AG12" s="318"/>
      <c r="AH12" s="226">
        <f t="shared" si="9"/>
        <v>0</v>
      </c>
      <c r="AI12" s="317"/>
      <c r="AJ12" s="318"/>
      <c r="AK12" s="226">
        <f t="shared" si="10"/>
        <v>0</v>
      </c>
    </row>
    <row r="13" spans="1:49" ht="15.75" thickBot="1">
      <c r="A13" s="7" t="s">
        <v>107</v>
      </c>
      <c r="B13" s="12">
        <f>SUM(B7:B12)</f>
        <v>1663</v>
      </c>
      <c r="C13" s="237"/>
      <c r="D13" s="227">
        <f>SUM(D7:D12)</f>
        <v>3011.038</v>
      </c>
      <c r="E13" s="12">
        <f t="shared" ref="E13" si="12">SUM(E7:E12)</f>
        <v>1476</v>
      </c>
      <c r="F13" s="237"/>
      <c r="G13" s="227">
        <f t="shared" ref="G13:H13" si="13">SUM(G7:G12)</f>
        <v>1254.5999999999999</v>
      </c>
      <c r="H13" s="12">
        <f t="shared" si="13"/>
        <v>1545</v>
      </c>
      <c r="I13" s="237"/>
      <c r="J13" s="227">
        <f t="shared" ref="J13:K13" si="14">SUM(J7:J12)</f>
        <v>1390.5</v>
      </c>
      <c r="K13" s="12">
        <f t="shared" si="14"/>
        <v>1440</v>
      </c>
      <c r="L13" s="237"/>
      <c r="M13" s="227">
        <f t="shared" ref="M13:N13" si="15">SUM(M7:M12)</f>
        <v>1262.8800000000001</v>
      </c>
      <c r="N13" s="12">
        <f t="shared" si="15"/>
        <v>957.9</v>
      </c>
      <c r="O13" s="237"/>
      <c r="P13" s="227">
        <f t="shared" ref="P13:Q13" si="16">SUM(P7:P12)</f>
        <v>862.11</v>
      </c>
      <c r="Q13" s="12">
        <f t="shared" si="16"/>
        <v>1253</v>
      </c>
      <c r="R13" s="237"/>
      <c r="S13" s="227">
        <f t="shared" ref="S13:T13" si="17">SUM(S7:S12)</f>
        <v>1183.9596999999999</v>
      </c>
      <c r="T13" s="12">
        <f t="shared" si="17"/>
        <v>1855</v>
      </c>
      <c r="U13" s="237"/>
      <c r="V13" s="227">
        <f t="shared" ref="V13:W13" si="18">SUM(V7:V12)</f>
        <v>1762.25</v>
      </c>
      <c r="W13" s="12">
        <f t="shared" si="18"/>
        <v>0</v>
      </c>
      <c r="X13" s="237"/>
      <c r="Y13" s="227">
        <f t="shared" ref="Y13:Z13" si="19">SUM(Y7:Y12)</f>
        <v>0</v>
      </c>
      <c r="Z13" s="12">
        <f t="shared" si="19"/>
        <v>0</v>
      </c>
      <c r="AA13" s="237"/>
      <c r="AB13" s="227">
        <f t="shared" ref="AB13:AC13" si="20">SUM(AB7:AB12)</f>
        <v>0</v>
      </c>
      <c r="AC13" s="12">
        <f t="shared" si="20"/>
        <v>0</v>
      </c>
      <c r="AD13" s="237"/>
      <c r="AE13" s="227">
        <f t="shared" ref="AE13:AF13" si="21">SUM(AE7:AE12)</f>
        <v>0</v>
      </c>
      <c r="AF13" s="12">
        <f t="shared" si="21"/>
        <v>0</v>
      </c>
      <c r="AG13" s="237"/>
      <c r="AH13" s="227">
        <f t="shared" ref="AH13:AI13" si="22">SUM(AH7:AH12)</f>
        <v>0</v>
      </c>
      <c r="AI13" s="12">
        <f t="shared" si="22"/>
        <v>0</v>
      </c>
      <c r="AJ13" s="237"/>
      <c r="AK13" s="227">
        <f t="shared" ref="AK13" si="23">SUM(AK7:AK12)</f>
        <v>0</v>
      </c>
    </row>
    <row r="14" spans="1:49" ht="15.75" thickBot="1">
      <c r="A14" s="13" t="s">
        <v>262</v>
      </c>
      <c r="B14" s="14"/>
      <c r="C14" s="238"/>
      <c r="D14" s="228"/>
      <c r="E14" s="14"/>
      <c r="F14" s="238"/>
      <c r="G14" s="228"/>
      <c r="H14" s="14"/>
      <c r="I14" s="238"/>
      <c r="J14" s="228"/>
      <c r="K14" s="14"/>
      <c r="L14" s="238"/>
      <c r="M14" s="228"/>
      <c r="N14" s="14"/>
      <c r="O14" s="238"/>
      <c r="P14" s="228"/>
      <c r="Q14" s="14"/>
      <c r="R14" s="238"/>
      <c r="S14" s="228"/>
      <c r="T14" s="14"/>
      <c r="U14" s="238"/>
      <c r="V14" s="228"/>
      <c r="W14" s="14"/>
      <c r="X14" s="238"/>
      <c r="Y14" s="228"/>
      <c r="Z14" s="14"/>
      <c r="AA14" s="238"/>
      <c r="AB14" s="228"/>
      <c r="AC14" s="14"/>
      <c r="AD14" s="238"/>
      <c r="AE14" s="228"/>
      <c r="AF14" s="14"/>
      <c r="AG14" s="238"/>
      <c r="AH14" s="228"/>
      <c r="AI14" s="14"/>
      <c r="AJ14" s="238"/>
      <c r="AK14" s="228"/>
    </row>
    <row r="15" spans="1:49">
      <c r="A15" s="15"/>
      <c r="B15" s="16" t="s">
        <v>100</v>
      </c>
      <c r="C15" s="239" t="s">
        <v>101</v>
      </c>
      <c r="D15" s="229" t="s">
        <v>102</v>
      </c>
      <c r="E15" s="16" t="s">
        <v>100</v>
      </c>
      <c r="F15" s="239" t="s">
        <v>101</v>
      </c>
      <c r="G15" s="229" t="s">
        <v>102</v>
      </c>
      <c r="H15" s="16" t="s">
        <v>100</v>
      </c>
      <c r="I15" s="239" t="s">
        <v>101</v>
      </c>
      <c r="J15" s="229" t="s">
        <v>102</v>
      </c>
      <c r="K15" s="16" t="s">
        <v>100</v>
      </c>
      <c r="L15" s="239" t="s">
        <v>101</v>
      </c>
      <c r="M15" s="229" t="s">
        <v>102</v>
      </c>
      <c r="N15" s="16" t="s">
        <v>100</v>
      </c>
      <c r="O15" s="239" t="s">
        <v>101</v>
      </c>
      <c r="P15" s="229" t="s">
        <v>102</v>
      </c>
      <c r="Q15" s="16" t="s">
        <v>100</v>
      </c>
      <c r="R15" s="239" t="s">
        <v>101</v>
      </c>
      <c r="S15" s="229" t="s">
        <v>102</v>
      </c>
      <c r="T15" s="16" t="s">
        <v>100</v>
      </c>
      <c r="U15" s="239" t="s">
        <v>101</v>
      </c>
      <c r="V15" s="229" t="s">
        <v>102</v>
      </c>
      <c r="W15" s="16" t="s">
        <v>100</v>
      </c>
      <c r="X15" s="239" t="s">
        <v>101</v>
      </c>
      <c r="Y15" s="229" t="s">
        <v>102</v>
      </c>
      <c r="Z15" s="16" t="s">
        <v>100</v>
      </c>
      <c r="AA15" s="239" t="s">
        <v>101</v>
      </c>
      <c r="AB15" s="229" t="s">
        <v>102</v>
      </c>
      <c r="AC15" s="16" t="s">
        <v>100</v>
      </c>
      <c r="AD15" s="239" t="s">
        <v>101</v>
      </c>
      <c r="AE15" s="229" t="s">
        <v>102</v>
      </c>
      <c r="AF15" s="16" t="s">
        <v>100</v>
      </c>
      <c r="AG15" s="239" t="s">
        <v>101</v>
      </c>
      <c r="AH15" s="229" t="s">
        <v>102</v>
      </c>
      <c r="AI15" s="16" t="s">
        <v>100</v>
      </c>
      <c r="AJ15" s="239" t="s">
        <v>101</v>
      </c>
      <c r="AK15" s="229" t="s">
        <v>102</v>
      </c>
    </row>
    <row r="16" spans="1:49">
      <c r="A16" s="17" t="s">
        <v>57</v>
      </c>
      <c r="B16" s="322">
        <v>5</v>
      </c>
      <c r="C16" s="314">
        <v>30</v>
      </c>
      <c r="D16" s="224">
        <f>B16*C16</f>
        <v>150</v>
      </c>
      <c r="E16" s="322">
        <v>4</v>
      </c>
      <c r="F16" s="314">
        <v>30</v>
      </c>
      <c r="G16" s="224">
        <f t="shared" ref="G16:G26" si="24">E16*F16</f>
        <v>120</v>
      </c>
      <c r="H16" s="322">
        <v>4</v>
      </c>
      <c r="I16" s="314">
        <v>30</v>
      </c>
      <c r="J16" s="224">
        <f t="shared" ref="J16:J26" si="25">H16*I16</f>
        <v>120</v>
      </c>
      <c r="K16" s="322"/>
      <c r="L16" s="314"/>
      <c r="M16" s="224">
        <f t="shared" ref="M16:M26" si="26">K16*L16</f>
        <v>0</v>
      </c>
      <c r="N16" s="322"/>
      <c r="O16" s="314"/>
      <c r="P16" s="224">
        <f t="shared" ref="P16:P26" si="27">N16*O16</f>
        <v>0</v>
      </c>
      <c r="Q16" s="322">
        <v>4</v>
      </c>
      <c r="R16" s="314">
        <v>30</v>
      </c>
      <c r="S16" s="224">
        <f t="shared" ref="S16:S26" si="28">Q16*R16</f>
        <v>120</v>
      </c>
      <c r="T16" s="322">
        <v>1</v>
      </c>
      <c r="U16" s="314">
        <v>250</v>
      </c>
      <c r="V16" s="224">
        <f t="shared" ref="V16:V26" si="29">T16*U16</f>
        <v>250</v>
      </c>
      <c r="W16" s="322"/>
      <c r="X16" s="314"/>
      <c r="Y16" s="224">
        <f t="shared" ref="Y16:Y26" si="30">W16*X16</f>
        <v>0</v>
      </c>
      <c r="Z16" s="322"/>
      <c r="AA16" s="314"/>
      <c r="AB16" s="224">
        <f t="shared" ref="AB16:AB26" si="31">Z16*AA16</f>
        <v>0</v>
      </c>
      <c r="AC16" s="322"/>
      <c r="AD16" s="314"/>
      <c r="AE16" s="224">
        <f t="shared" ref="AE16:AE26" si="32">AC16*AD16</f>
        <v>0</v>
      </c>
      <c r="AF16" s="322"/>
      <c r="AG16" s="314"/>
      <c r="AH16" s="224">
        <f t="shared" ref="AH16:AH26" si="33">AF16*AG16</f>
        <v>0</v>
      </c>
      <c r="AI16" s="322"/>
      <c r="AJ16" s="314"/>
      <c r="AK16" s="224">
        <f t="shared" ref="AK16:AK26" si="34">AI16*AJ16</f>
        <v>0</v>
      </c>
    </row>
    <row r="17" spans="1:37">
      <c r="A17" s="15" t="s">
        <v>263</v>
      </c>
      <c r="B17" s="323"/>
      <c r="C17" s="316"/>
      <c r="D17" s="225">
        <f t="shared" ref="D17:D26" si="35">B17*C17</f>
        <v>0</v>
      </c>
      <c r="E17" s="323"/>
      <c r="F17" s="316"/>
      <c r="G17" s="225">
        <f t="shared" si="24"/>
        <v>0</v>
      </c>
      <c r="H17" s="323"/>
      <c r="I17" s="316"/>
      <c r="J17" s="225">
        <f t="shared" si="25"/>
        <v>0</v>
      </c>
      <c r="K17" s="323"/>
      <c r="L17" s="316"/>
      <c r="M17" s="225">
        <f t="shared" si="26"/>
        <v>0</v>
      </c>
      <c r="N17" s="323"/>
      <c r="O17" s="316"/>
      <c r="P17" s="225">
        <f t="shared" si="27"/>
        <v>0</v>
      </c>
      <c r="Q17" s="323"/>
      <c r="R17" s="316"/>
      <c r="S17" s="225">
        <f t="shared" si="28"/>
        <v>0</v>
      </c>
      <c r="T17" s="323"/>
      <c r="U17" s="316"/>
      <c r="V17" s="225">
        <f t="shared" si="29"/>
        <v>0</v>
      </c>
      <c r="W17" s="323"/>
      <c r="X17" s="316"/>
      <c r="Y17" s="225">
        <f t="shared" si="30"/>
        <v>0</v>
      </c>
      <c r="Z17" s="323"/>
      <c r="AA17" s="316"/>
      <c r="AB17" s="225">
        <f t="shared" si="31"/>
        <v>0</v>
      </c>
      <c r="AC17" s="323"/>
      <c r="AD17" s="316"/>
      <c r="AE17" s="225">
        <f t="shared" si="32"/>
        <v>0</v>
      </c>
      <c r="AF17" s="323"/>
      <c r="AG17" s="316"/>
      <c r="AH17" s="225">
        <f t="shared" si="33"/>
        <v>0</v>
      </c>
      <c r="AI17" s="323"/>
      <c r="AJ17" s="316"/>
      <c r="AK17" s="225">
        <f t="shared" si="34"/>
        <v>0</v>
      </c>
    </row>
    <row r="18" spans="1:37">
      <c r="A18" s="15" t="s">
        <v>264</v>
      </c>
      <c r="B18" s="323">
        <v>1</v>
      </c>
      <c r="C18" s="316">
        <v>18.809999999999999</v>
      </c>
      <c r="D18" s="225">
        <f t="shared" si="35"/>
        <v>18.809999999999999</v>
      </c>
      <c r="E18" s="323">
        <v>1</v>
      </c>
      <c r="F18" s="316">
        <v>15.56</v>
      </c>
      <c r="G18" s="225">
        <f t="shared" si="24"/>
        <v>15.56</v>
      </c>
      <c r="H18" s="323">
        <v>1</v>
      </c>
      <c r="I18" s="316">
        <v>17.440000000000001</v>
      </c>
      <c r="J18" s="225">
        <f t="shared" si="25"/>
        <v>17.440000000000001</v>
      </c>
      <c r="K18" s="323">
        <v>1</v>
      </c>
      <c r="L18" s="316">
        <v>20.53</v>
      </c>
      <c r="M18" s="225">
        <f t="shared" si="26"/>
        <v>20.53</v>
      </c>
      <c r="N18" s="323">
        <v>1</v>
      </c>
      <c r="O18" s="316">
        <v>35</v>
      </c>
      <c r="P18" s="225">
        <f t="shared" si="27"/>
        <v>35</v>
      </c>
      <c r="Q18" s="323">
        <v>1</v>
      </c>
      <c r="R18" s="316">
        <v>28.44</v>
      </c>
      <c r="S18" s="225">
        <f t="shared" si="28"/>
        <v>28.44</v>
      </c>
      <c r="T18" s="323">
        <v>1</v>
      </c>
      <c r="U18" s="316">
        <v>34</v>
      </c>
      <c r="V18" s="225">
        <f t="shared" si="29"/>
        <v>34</v>
      </c>
      <c r="W18" s="323"/>
      <c r="X18" s="316"/>
      <c r="Y18" s="225">
        <f t="shared" si="30"/>
        <v>0</v>
      </c>
      <c r="Z18" s="323"/>
      <c r="AA18" s="316"/>
      <c r="AB18" s="225">
        <f t="shared" si="31"/>
        <v>0</v>
      </c>
      <c r="AC18" s="323"/>
      <c r="AD18" s="316"/>
      <c r="AE18" s="225">
        <f t="shared" si="32"/>
        <v>0</v>
      </c>
      <c r="AF18" s="323"/>
      <c r="AG18" s="316"/>
      <c r="AH18" s="225">
        <f t="shared" si="33"/>
        <v>0</v>
      </c>
      <c r="AI18" s="323"/>
      <c r="AJ18" s="316"/>
      <c r="AK18" s="225">
        <f t="shared" si="34"/>
        <v>0</v>
      </c>
    </row>
    <row r="19" spans="1:37">
      <c r="A19" s="15" t="s">
        <v>265</v>
      </c>
      <c r="B19" s="323">
        <v>1</v>
      </c>
      <c r="C19" s="316">
        <v>50</v>
      </c>
      <c r="D19" s="225">
        <f t="shared" si="35"/>
        <v>50</v>
      </c>
      <c r="E19" s="323">
        <v>1</v>
      </c>
      <c r="F19" s="316">
        <v>23.8</v>
      </c>
      <c r="G19" s="225">
        <f t="shared" si="24"/>
        <v>23.8</v>
      </c>
      <c r="H19" s="323">
        <v>1</v>
      </c>
      <c r="I19" s="316">
        <v>17.440000000000001</v>
      </c>
      <c r="J19" s="225">
        <f t="shared" si="25"/>
        <v>17.440000000000001</v>
      </c>
      <c r="K19" s="323"/>
      <c r="L19" s="316"/>
      <c r="M19" s="225">
        <f t="shared" si="26"/>
        <v>0</v>
      </c>
      <c r="N19" s="323">
        <v>1</v>
      </c>
      <c r="O19" s="316">
        <v>20</v>
      </c>
      <c r="P19" s="225">
        <f t="shared" si="27"/>
        <v>20</v>
      </c>
      <c r="Q19" s="323">
        <v>1</v>
      </c>
      <c r="R19" s="316">
        <v>30</v>
      </c>
      <c r="S19" s="225">
        <f t="shared" si="28"/>
        <v>30</v>
      </c>
      <c r="T19" s="323">
        <v>1</v>
      </c>
      <c r="U19" s="316">
        <v>15</v>
      </c>
      <c r="V19" s="225">
        <f t="shared" si="29"/>
        <v>15</v>
      </c>
      <c r="W19" s="323"/>
      <c r="X19" s="316"/>
      <c r="Y19" s="225">
        <f t="shared" si="30"/>
        <v>0</v>
      </c>
      <c r="Z19" s="323"/>
      <c r="AA19" s="316"/>
      <c r="AB19" s="225">
        <f t="shared" si="31"/>
        <v>0</v>
      </c>
      <c r="AC19" s="323"/>
      <c r="AD19" s="316"/>
      <c r="AE19" s="225">
        <f t="shared" si="32"/>
        <v>0</v>
      </c>
      <c r="AF19" s="323"/>
      <c r="AG19" s="316"/>
      <c r="AH19" s="225">
        <f t="shared" si="33"/>
        <v>0</v>
      </c>
      <c r="AI19" s="323"/>
      <c r="AJ19" s="316"/>
      <c r="AK19" s="225">
        <f t="shared" si="34"/>
        <v>0</v>
      </c>
    </row>
    <row r="20" spans="1:37">
      <c r="A20" s="15" t="s">
        <v>346</v>
      </c>
      <c r="B20" s="323"/>
      <c r="C20" s="316"/>
      <c r="D20" s="225">
        <f t="shared" si="35"/>
        <v>0</v>
      </c>
      <c r="E20" s="323"/>
      <c r="F20" s="316"/>
      <c r="G20" s="225">
        <f t="shared" si="24"/>
        <v>0</v>
      </c>
      <c r="H20" s="323"/>
      <c r="I20" s="316"/>
      <c r="J20" s="225">
        <f t="shared" si="25"/>
        <v>0</v>
      </c>
      <c r="K20" s="323"/>
      <c r="L20" s="316"/>
      <c r="M20" s="225">
        <f t="shared" si="26"/>
        <v>0</v>
      </c>
      <c r="N20" s="323"/>
      <c r="O20" s="316"/>
      <c r="P20" s="225">
        <f t="shared" si="27"/>
        <v>0</v>
      </c>
      <c r="Q20" s="323"/>
      <c r="R20" s="316"/>
      <c r="S20" s="225">
        <f t="shared" si="28"/>
        <v>0</v>
      </c>
      <c r="T20" s="323"/>
      <c r="U20" s="316"/>
      <c r="V20" s="225">
        <f t="shared" si="29"/>
        <v>0</v>
      </c>
      <c r="W20" s="323"/>
      <c r="X20" s="316"/>
      <c r="Y20" s="225">
        <f t="shared" si="30"/>
        <v>0</v>
      </c>
      <c r="Z20" s="323"/>
      <c r="AA20" s="316"/>
      <c r="AB20" s="225">
        <f t="shared" si="31"/>
        <v>0</v>
      </c>
      <c r="AC20" s="323"/>
      <c r="AD20" s="316"/>
      <c r="AE20" s="225">
        <f t="shared" si="32"/>
        <v>0</v>
      </c>
      <c r="AF20" s="323"/>
      <c r="AG20" s="316"/>
      <c r="AH20" s="225">
        <f t="shared" si="33"/>
        <v>0</v>
      </c>
      <c r="AI20" s="323"/>
      <c r="AJ20" s="316"/>
      <c r="AK20" s="225">
        <f t="shared" si="34"/>
        <v>0</v>
      </c>
    </row>
    <row r="21" spans="1:37">
      <c r="A21" s="15" t="s">
        <v>58</v>
      </c>
      <c r="B21" s="323"/>
      <c r="C21" s="316"/>
      <c r="D21" s="225">
        <f t="shared" si="35"/>
        <v>0</v>
      </c>
      <c r="E21" s="323"/>
      <c r="F21" s="316"/>
      <c r="G21" s="225">
        <f t="shared" si="24"/>
        <v>0</v>
      </c>
      <c r="H21" s="323"/>
      <c r="I21" s="316"/>
      <c r="J21" s="225">
        <f t="shared" si="25"/>
        <v>0</v>
      </c>
      <c r="K21" s="323"/>
      <c r="L21" s="316"/>
      <c r="M21" s="225">
        <f t="shared" si="26"/>
        <v>0</v>
      </c>
      <c r="N21" s="323"/>
      <c r="O21" s="316"/>
      <c r="P21" s="225">
        <f t="shared" si="27"/>
        <v>0</v>
      </c>
      <c r="Q21" s="323"/>
      <c r="R21" s="316"/>
      <c r="S21" s="225">
        <f t="shared" si="28"/>
        <v>0</v>
      </c>
      <c r="T21" s="323"/>
      <c r="U21" s="316"/>
      <c r="V21" s="225">
        <f t="shared" si="29"/>
        <v>0</v>
      </c>
      <c r="W21" s="323"/>
      <c r="X21" s="316"/>
      <c r="Y21" s="225">
        <f t="shared" si="30"/>
        <v>0</v>
      </c>
      <c r="Z21" s="323"/>
      <c r="AA21" s="316"/>
      <c r="AB21" s="225">
        <f t="shared" si="31"/>
        <v>0</v>
      </c>
      <c r="AC21" s="323"/>
      <c r="AD21" s="316"/>
      <c r="AE21" s="225">
        <f t="shared" si="32"/>
        <v>0</v>
      </c>
      <c r="AF21" s="323"/>
      <c r="AG21" s="316"/>
      <c r="AH21" s="225">
        <f t="shared" si="33"/>
        <v>0</v>
      </c>
      <c r="AI21" s="323"/>
      <c r="AJ21" s="316"/>
      <c r="AK21" s="225">
        <f t="shared" si="34"/>
        <v>0</v>
      </c>
    </row>
    <row r="22" spans="1:37">
      <c r="A22" s="15" t="s">
        <v>59</v>
      </c>
      <c r="B22" s="323"/>
      <c r="C22" s="316"/>
      <c r="D22" s="225">
        <f t="shared" si="35"/>
        <v>0</v>
      </c>
      <c r="E22" s="323"/>
      <c r="F22" s="316"/>
      <c r="G22" s="225">
        <f t="shared" si="24"/>
        <v>0</v>
      </c>
      <c r="H22" s="323"/>
      <c r="I22" s="316"/>
      <c r="J22" s="225">
        <f t="shared" si="25"/>
        <v>0</v>
      </c>
      <c r="K22" s="323"/>
      <c r="L22" s="316"/>
      <c r="M22" s="225">
        <f t="shared" si="26"/>
        <v>0</v>
      </c>
      <c r="N22" s="323"/>
      <c r="O22" s="316"/>
      <c r="P22" s="225">
        <f t="shared" si="27"/>
        <v>0</v>
      </c>
      <c r="Q22" s="323"/>
      <c r="R22" s="316"/>
      <c r="S22" s="225">
        <f t="shared" si="28"/>
        <v>0</v>
      </c>
      <c r="T22" s="323"/>
      <c r="U22" s="316"/>
      <c r="V22" s="225">
        <f t="shared" si="29"/>
        <v>0</v>
      </c>
      <c r="W22" s="323"/>
      <c r="X22" s="316"/>
      <c r="Y22" s="225">
        <f t="shared" si="30"/>
        <v>0</v>
      </c>
      <c r="Z22" s="323"/>
      <c r="AA22" s="316"/>
      <c r="AB22" s="225">
        <f t="shared" si="31"/>
        <v>0</v>
      </c>
      <c r="AC22" s="323"/>
      <c r="AD22" s="316"/>
      <c r="AE22" s="225">
        <f t="shared" si="32"/>
        <v>0</v>
      </c>
      <c r="AF22" s="323"/>
      <c r="AG22" s="316"/>
      <c r="AH22" s="225">
        <f t="shared" si="33"/>
        <v>0</v>
      </c>
      <c r="AI22" s="323"/>
      <c r="AJ22" s="316"/>
      <c r="AK22" s="225">
        <f t="shared" si="34"/>
        <v>0</v>
      </c>
    </row>
    <row r="23" spans="1:37">
      <c r="A23" s="15" t="s">
        <v>61</v>
      </c>
      <c r="B23" s="323"/>
      <c r="C23" s="316"/>
      <c r="D23" s="225">
        <f t="shared" si="35"/>
        <v>0</v>
      </c>
      <c r="E23" s="323"/>
      <c r="F23" s="316"/>
      <c r="G23" s="225">
        <f t="shared" si="24"/>
        <v>0</v>
      </c>
      <c r="H23" s="323"/>
      <c r="I23" s="316"/>
      <c r="J23" s="225">
        <f t="shared" si="25"/>
        <v>0</v>
      </c>
      <c r="K23" s="323"/>
      <c r="L23" s="316"/>
      <c r="M23" s="225">
        <f t="shared" si="26"/>
        <v>0</v>
      </c>
      <c r="N23" s="323"/>
      <c r="O23" s="316"/>
      <c r="P23" s="225">
        <f t="shared" si="27"/>
        <v>0</v>
      </c>
      <c r="Q23" s="323"/>
      <c r="R23" s="316"/>
      <c r="S23" s="225">
        <f t="shared" si="28"/>
        <v>0</v>
      </c>
      <c r="T23" s="323"/>
      <c r="U23" s="316"/>
      <c r="V23" s="225">
        <f t="shared" si="29"/>
        <v>0</v>
      </c>
      <c r="W23" s="323"/>
      <c r="X23" s="316"/>
      <c r="Y23" s="225">
        <f t="shared" si="30"/>
        <v>0</v>
      </c>
      <c r="Z23" s="323"/>
      <c r="AA23" s="316"/>
      <c r="AB23" s="225">
        <f t="shared" si="31"/>
        <v>0</v>
      </c>
      <c r="AC23" s="323"/>
      <c r="AD23" s="316"/>
      <c r="AE23" s="225">
        <f t="shared" si="32"/>
        <v>0</v>
      </c>
      <c r="AF23" s="323"/>
      <c r="AG23" s="316"/>
      <c r="AH23" s="225">
        <f t="shared" si="33"/>
        <v>0</v>
      </c>
      <c r="AI23" s="323"/>
      <c r="AJ23" s="316"/>
      <c r="AK23" s="225">
        <f t="shared" si="34"/>
        <v>0</v>
      </c>
    </row>
    <row r="24" spans="1:37">
      <c r="A24" s="15" t="s">
        <v>60</v>
      </c>
      <c r="B24" s="323"/>
      <c r="C24" s="316"/>
      <c r="D24" s="225">
        <f t="shared" si="35"/>
        <v>0</v>
      </c>
      <c r="E24" s="323"/>
      <c r="F24" s="316"/>
      <c r="G24" s="225">
        <f t="shared" si="24"/>
        <v>0</v>
      </c>
      <c r="H24" s="323"/>
      <c r="I24" s="316"/>
      <c r="J24" s="225">
        <f t="shared" si="25"/>
        <v>0</v>
      </c>
      <c r="K24" s="323"/>
      <c r="L24" s="316"/>
      <c r="M24" s="225">
        <f t="shared" si="26"/>
        <v>0</v>
      </c>
      <c r="N24" s="323"/>
      <c r="O24" s="316"/>
      <c r="P24" s="225">
        <f t="shared" si="27"/>
        <v>0</v>
      </c>
      <c r="Q24" s="323"/>
      <c r="R24" s="316"/>
      <c r="S24" s="225">
        <f t="shared" si="28"/>
        <v>0</v>
      </c>
      <c r="T24" s="323"/>
      <c r="U24" s="316"/>
      <c r="V24" s="225">
        <f t="shared" si="29"/>
        <v>0</v>
      </c>
      <c r="W24" s="323"/>
      <c r="X24" s="316"/>
      <c r="Y24" s="225">
        <f t="shared" si="30"/>
        <v>0</v>
      </c>
      <c r="Z24" s="323"/>
      <c r="AA24" s="316"/>
      <c r="AB24" s="225">
        <f t="shared" si="31"/>
        <v>0</v>
      </c>
      <c r="AC24" s="323"/>
      <c r="AD24" s="316"/>
      <c r="AE24" s="225">
        <f t="shared" si="32"/>
        <v>0</v>
      </c>
      <c r="AF24" s="323"/>
      <c r="AG24" s="316"/>
      <c r="AH24" s="225">
        <f t="shared" si="33"/>
        <v>0</v>
      </c>
      <c r="AI24" s="323"/>
      <c r="AJ24" s="316"/>
      <c r="AK24" s="225">
        <f t="shared" si="34"/>
        <v>0</v>
      </c>
    </row>
    <row r="25" spans="1:37">
      <c r="A25" s="15" t="s">
        <v>55</v>
      </c>
      <c r="B25" s="323"/>
      <c r="C25" s="316"/>
      <c r="D25" s="225">
        <f>B25*C25</f>
        <v>0</v>
      </c>
      <c r="E25" s="323"/>
      <c r="F25" s="316"/>
      <c r="G25" s="225">
        <f t="shared" si="24"/>
        <v>0</v>
      </c>
      <c r="H25" s="323"/>
      <c r="I25" s="316"/>
      <c r="J25" s="225">
        <f t="shared" si="25"/>
        <v>0</v>
      </c>
      <c r="K25" s="323"/>
      <c r="L25" s="316"/>
      <c r="M25" s="225">
        <f t="shared" si="26"/>
        <v>0</v>
      </c>
      <c r="N25" s="323"/>
      <c r="O25" s="316"/>
      <c r="P25" s="225">
        <f t="shared" si="27"/>
        <v>0</v>
      </c>
      <c r="Q25" s="323"/>
      <c r="R25" s="316"/>
      <c r="S25" s="225">
        <f t="shared" si="28"/>
        <v>0</v>
      </c>
      <c r="T25" s="323"/>
      <c r="U25" s="316"/>
      <c r="V25" s="225">
        <f t="shared" si="29"/>
        <v>0</v>
      </c>
      <c r="W25" s="323"/>
      <c r="X25" s="316"/>
      <c r="Y25" s="225">
        <f t="shared" si="30"/>
        <v>0</v>
      </c>
      <c r="Z25" s="323"/>
      <c r="AA25" s="316"/>
      <c r="AB25" s="225">
        <f t="shared" si="31"/>
        <v>0</v>
      </c>
      <c r="AC25" s="323"/>
      <c r="AD25" s="316"/>
      <c r="AE25" s="225">
        <f t="shared" si="32"/>
        <v>0</v>
      </c>
      <c r="AF25" s="323"/>
      <c r="AG25" s="316"/>
      <c r="AH25" s="225">
        <f t="shared" si="33"/>
        <v>0</v>
      </c>
      <c r="AI25" s="323"/>
      <c r="AJ25" s="316"/>
      <c r="AK25" s="225">
        <f t="shared" si="34"/>
        <v>0</v>
      </c>
    </row>
    <row r="26" spans="1:37">
      <c r="A26" s="352" t="s">
        <v>347</v>
      </c>
      <c r="B26" s="353"/>
      <c r="C26" s="354"/>
      <c r="D26" s="355">
        <f t="shared" si="35"/>
        <v>0</v>
      </c>
      <c r="E26" s="353"/>
      <c r="F26" s="354"/>
      <c r="G26" s="355">
        <f t="shared" si="24"/>
        <v>0</v>
      </c>
      <c r="H26" s="353"/>
      <c r="I26" s="354"/>
      <c r="J26" s="355">
        <f t="shared" si="25"/>
        <v>0</v>
      </c>
      <c r="K26" s="353"/>
      <c r="L26" s="354"/>
      <c r="M26" s="355">
        <f t="shared" si="26"/>
        <v>0</v>
      </c>
      <c r="N26" s="353"/>
      <c r="O26" s="354"/>
      <c r="P26" s="355">
        <f t="shared" si="27"/>
        <v>0</v>
      </c>
      <c r="Q26" s="353"/>
      <c r="R26" s="354"/>
      <c r="S26" s="355">
        <f t="shared" si="28"/>
        <v>0</v>
      </c>
      <c r="T26" s="353"/>
      <c r="U26" s="354"/>
      <c r="V26" s="355">
        <f t="shared" si="29"/>
        <v>0</v>
      </c>
      <c r="W26" s="353"/>
      <c r="X26" s="354"/>
      <c r="Y26" s="355">
        <f t="shared" si="30"/>
        <v>0</v>
      </c>
      <c r="Z26" s="353"/>
      <c r="AA26" s="354"/>
      <c r="AB26" s="355">
        <f t="shared" si="31"/>
        <v>0</v>
      </c>
      <c r="AC26" s="353"/>
      <c r="AD26" s="354"/>
      <c r="AE26" s="355">
        <f t="shared" si="32"/>
        <v>0</v>
      </c>
      <c r="AF26" s="353"/>
      <c r="AG26" s="354"/>
      <c r="AH26" s="355">
        <f t="shared" si="33"/>
        <v>0</v>
      </c>
      <c r="AI26" s="353"/>
      <c r="AJ26" s="354"/>
      <c r="AK26" s="355">
        <f t="shared" si="34"/>
        <v>0</v>
      </c>
    </row>
    <row r="27" spans="1:37" ht="15.75" thickBot="1">
      <c r="A27" s="349" t="s">
        <v>348</v>
      </c>
      <c r="B27" s="350"/>
      <c r="C27" s="351"/>
      <c r="D27" s="226">
        <f>SUM(D16:D26)</f>
        <v>218.81</v>
      </c>
      <c r="E27" s="350"/>
      <c r="F27" s="351"/>
      <c r="G27" s="226">
        <f>SUM(G16:G26)</f>
        <v>159.36000000000001</v>
      </c>
      <c r="H27" s="350"/>
      <c r="I27" s="351"/>
      <c r="J27" s="226">
        <f>SUM(J16:J26)</f>
        <v>154.88</v>
      </c>
      <c r="K27" s="350"/>
      <c r="L27" s="351"/>
      <c r="M27" s="226">
        <f>SUM(M16:M26)</f>
        <v>20.53</v>
      </c>
      <c r="N27" s="350"/>
      <c r="O27" s="351"/>
      <c r="P27" s="226">
        <f>SUM(P16:P26)</f>
        <v>55</v>
      </c>
      <c r="Q27" s="350"/>
      <c r="R27" s="351"/>
      <c r="S27" s="226">
        <f>SUM(S16:S26)</f>
        <v>178.44</v>
      </c>
      <c r="T27" s="350"/>
      <c r="U27" s="351"/>
      <c r="V27" s="226">
        <f>SUM(V16:V26)</f>
        <v>299</v>
      </c>
      <c r="W27" s="350"/>
      <c r="X27" s="351"/>
      <c r="Y27" s="226">
        <f>SUM(Y16:Y26)</f>
        <v>0</v>
      </c>
      <c r="Z27" s="350"/>
      <c r="AA27" s="351"/>
      <c r="AB27" s="226">
        <f>SUM(AB16:AB26)</f>
        <v>0</v>
      </c>
      <c r="AC27" s="350"/>
      <c r="AD27" s="351"/>
      <c r="AE27" s="226">
        <f>SUM(AE16:AE26)</f>
        <v>0</v>
      </c>
      <c r="AF27" s="350"/>
      <c r="AG27" s="351"/>
      <c r="AH27" s="226">
        <f>SUM(AH16:AH26)</f>
        <v>0</v>
      </c>
      <c r="AI27" s="350"/>
      <c r="AJ27" s="351"/>
      <c r="AK27" s="226">
        <f>SUM(AK16:AK26)</f>
        <v>0</v>
      </c>
    </row>
    <row r="28" spans="1:37">
      <c r="A28" s="348" t="s">
        <v>266</v>
      </c>
      <c r="B28" s="345" t="s">
        <v>100</v>
      </c>
      <c r="C28" s="346" t="s">
        <v>101</v>
      </c>
      <c r="D28" s="347" t="s">
        <v>102</v>
      </c>
      <c r="E28" s="345" t="s">
        <v>100</v>
      </c>
      <c r="F28" s="346" t="s">
        <v>101</v>
      </c>
      <c r="G28" s="347" t="s">
        <v>102</v>
      </c>
      <c r="H28" s="345" t="s">
        <v>100</v>
      </c>
      <c r="I28" s="346" t="s">
        <v>101</v>
      </c>
      <c r="J28" s="347" t="s">
        <v>102</v>
      </c>
      <c r="K28" s="345" t="s">
        <v>100</v>
      </c>
      <c r="L28" s="346" t="s">
        <v>101</v>
      </c>
      <c r="M28" s="347" t="s">
        <v>102</v>
      </c>
      <c r="N28" s="345" t="s">
        <v>100</v>
      </c>
      <c r="O28" s="346" t="s">
        <v>101</v>
      </c>
      <c r="P28" s="347" t="s">
        <v>102</v>
      </c>
      <c r="Q28" s="345" t="s">
        <v>100</v>
      </c>
      <c r="R28" s="346" t="s">
        <v>101</v>
      </c>
      <c r="S28" s="347" t="s">
        <v>102</v>
      </c>
      <c r="T28" s="345" t="s">
        <v>100</v>
      </c>
      <c r="U28" s="346" t="s">
        <v>101</v>
      </c>
      <c r="V28" s="347" t="s">
        <v>102</v>
      </c>
      <c r="W28" s="345" t="s">
        <v>100</v>
      </c>
      <c r="X28" s="346" t="s">
        <v>101</v>
      </c>
      <c r="Y28" s="347" t="s">
        <v>102</v>
      </c>
      <c r="Z28" s="345" t="s">
        <v>100</v>
      </c>
      <c r="AA28" s="346" t="s">
        <v>101</v>
      </c>
      <c r="AB28" s="347" t="s">
        <v>102</v>
      </c>
      <c r="AC28" s="345" t="s">
        <v>100</v>
      </c>
      <c r="AD28" s="346" t="s">
        <v>101</v>
      </c>
      <c r="AE28" s="347" t="s">
        <v>102</v>
      </c>
      <c r="AF28" s="345" t="s">
        <v>100</v>
      </c>
      <c r="AG28" s="346" t="s">
        <v>101</v>
      </c>
      <c r="AH28" s="347" t="s">
        <v>102</v>
      </c>
      <c r="AI28" s="345" t="s">
        <v>100</v>
      </c>
      <c r="AJ28" s="346" t="s">
        <v>101</v>
      </c>
      <c r="AK28" s="347" t="s">
        <v>102</v>
      </c>
    </row>
    <row r="29" spans="1:37">
      <c r="A29" s="4" t="s">
        <v>349</v>
      </c>
      <c r="B29" s="315"/>
      <c r="C29" s="316"/>
      <c r="D29" s="225">
        <f>B29*C29</f>
        <v>0</v>
      </c>
      <c r="E29" s="315"/>
      <c r="F29" s="316"/>
      <c r="G29" s="225">
        <f t="shared" ref="G29:G39" si="36">E29*F29</f>
        <v>0</v>
      </c>
      <c r="H29" s="315"/>
      <c r="I29" s="316"/>
      <c r="J29" s="225">
        <f t="shared" ref="J29:J39" si="37">H29*I29</f>
        <v>0</v>
      </c>
      <c r="K29" s="315"/>
      <c r="L29" s="316"/>
      <c r="M29" s="225">
        <f t="shared" ref="M29:M39" si="38">K29*L29</f>
        <v>0</v>
      </c>
      <c r="N29" s="315"/>
      <c r="O29" s="316"/>
      <c r="P29" s="225">
        <f t="shared" ref="P29:P39" si="39">N29*O29</f>
        <v>0</v>
      </c>
      <c r="Q29" s="315">
        <v>1</v>
      </c>
      <c r="R29" s="316">
        <v>90</v>
      </c>
      <c r="S29" s="225">
        <f t="shared" ref="S29:S39" si="40">Q29*R29</f>
        <v>90</v>
      </c>
      <c r="T29" s="315"/>
      <c r="U29" s="316"/>
      <c r="V29" s="225">
        <f t="shared" ref="V29:V39" si="41">T29*U29</f>
        <v>0</v>
      </c>
      <c r="W29" s="315"/>
      <c r="X29" s="316"/>
      <c r="Y29" s="225">
        <f t="shared" ref="Y29:Y39" si="42">W29*X29</f>
        <v>0</v>
      </c>
      <c r="Z29" s="315"/>
      <c r="AA29" s="316"/>
      <c r="AB29" s="225">
        <f t="shared" ref="AB29:AB39" si="43">Z29*AA29</f>
        <v>0</v>
      </c>
      <c r="AC29" s="315"/>
      <c r="AD29" s="316"/>
      <c r="AE29" s="225">
        <f t="shared" ref="AE29:AE39" si="44">AC29*AD29</f>
        <v>0</v>
      </c>
      <c r="AF29" s="315"/>
      <c r="AG29" s="316"/>
      <c r="AH29" s="225">
        <f t="shared" ref="AH29:AH39" si="45">AF29*AG29</f>
        <v>0</v>
      </c>
      <c r="AI29" s="315"/>
      <c r="AJ29" s="316"/>
      <c r="AK29" s="225">
        <f t="shared" ref="AK29:AK39" si="46">AI29*AJ29</f>
        <v>0</v>
      </c>
    </row>
    <row r="30" spans="1:37">
      <c r="A30" s="4" t="s">
        <v>267</v>
      </c>
      <c r="B30" s="315"/>
      <c r="C30" s="316"/>
      <c r="D30" s="225">
        <f>B30*C30</f>
        <v>0</v>
      </c>
      <c r="E30" s="315"/>
      <c r="F30" s="316"/>
      <c r="G30" s="225">
        <f t="shared" si="36"/>
        <v>0</v>
      </c>
      <c r="H30" s="315"/>
      <c r="I30" s="316"/>
      <c r="J30" s="225">
        <f t="shared" si="37"/>
        <v>0</v>
      </c>
      <c r="K30" s="315"/>
      <c r="L30" s="316"/>
      <c r="M30" s="225">
        <f t="shared" si="38"/>
        <v>0</v>
      </c>
      <c r="N30" s="315"/>
      <c r="O30" s="316"/>
      <c r="P30" s="225">
        <f t="shared" si="39"/>
        <v>0</v>
      </c>
      <c r="Q30" s="315"/>
      <c r="R30" s="316"/>
      <c r="S30" s="225">
        <f t="shared" si="40"/>
        <v>0</v>
      </c>
      <c r="T30" s="315"/>
      <c r="U30" s="316"/>
      <c r="V30" s="225">
        <f t="shared" si="41"/>
        <v>0</v>
      </c>
      <c r="W30" s="315"/>
      <c r="X30" s="316"/>
      <c r="Y30" s="225">
        <f t="shared" si="42"/>
        <v>0</v>
      </c>
      <c r="Z30" s="315"/>
      <c r="AA30" s="316"/>
      <c r="AB30" s="225">
        <f t="shared" si="43"/>
        <v>0</v>
      </c>
      <c r="AC30" s="315"/>
      <c r="AD30" s="316"/>
      <c r="AE30" s="225">
        <f t="shared" si="44"/>
        <v>0</v>
      </c>
      <c r="AF30" s="315"/>
      <c r="AG30" s="316"/>
      <c r="AH30" s="225">
        <f t="shared" si="45"/>
        <v>0</v>
      </c>
      <c r="AI30" s="315"/>
      <c r="AJ30" s="316"/>
      <c r="AK30" s="225">
        <f t="shared" si="46"/>
        <v>0</v>
      </c>
    </row>
    <row r="31" spans="1:37">
      <c r="A31" s="4" t="s">
        <v>350</v>
      </c>
      <c r="B31" s="315"/>
      <c r="C31" s="316"/>
      <c r="D31" s="225">
        <f t="shared" ref="D31:D39" si="47">B31*C31</f>
        <v>0</v>
      </c>
      <c r="E31" s="315"/>
      <c r="F31" s="316"/>
      <c r="G31" s="225">
        <f t="shared" si="36"/>
        <v>0</v>
      </c>
      <c r="H31" s="315"/>
      <c r="I31" s="316"/>
      <c r="J31" s="225">
        <f t="shared" si="37"/>
        <v>0</v>
      </c>
      <c r="K31" s="315"/>
      <c r="L31" s="316"/>
      <c r="M31" s="225">
        <f t="shared" si="38"/>
        <v>0</v>
      </c>
      <c r="N31" s="315"/>
      <c r="O31" s="316"/>
      <c r="P31" s="225">
        <f t="shared" si="39"/>
        <v>0</v>
      </c>
      <c r="Q31" s="315"/>
      <c r="R31" s="316"/>
      <c r="S31" s="225">
        <f t="shared" si="40"/>
        <v>0</v>
      </c>
      <c r="T31" s="315"/>
      <c r="U31" s="316"/>
      <c r="V31" s="225">
        <f t="shared" si="41"/>
        <v>0</v>
      </c>
      <c r="W31" s="315"/>
      <c r="X31" s="316"/>
      <c r="Y31" s="225">
        <f t="shared" si="42"/>
        <v>0</v>
      </c>
      <c r="Z31" s="315"/>
      <c r="AA31" s="316"/>
      <c r="AB31" s="225">
        <f t="shared" si="43"/>
        <v>0</v>
      </c>
      <c r="AC31" s="315"/>
      <c r="AD31" s="316"/>
      <c r="AE31" s="225">
        <f t="shared" si="44"/>
        <v>0</v>
      </c>
      <c r="AF31" s="315"/>
      <c r="AG31" s="316"/>
      <c r="AH31" s="225">
        <f t="shared" si="45"/>
        <v>0</v>
      </c>
      <c r="AI31" s="315"/>
      <c r="AJ31" s="316"/>
      <c r="AK31" s="225">
        <f t="shared" si="46"/>
        <v>0</v>
      </c>
    </row>
    <row r="32" spans="1:37">
      <c r="A32" s="4" t="s">
        <v>351</v>
      </c>
      <c r="B32" s="315"/>
      <c r="C32" s="316"/>
      <c r="D32" s="225">
        <f t="shared" si="47"/>
        <v>0</v>
      </c>
      <c r="E32" s="315"/>
      <c r="F32" s="316"/>
      <c r="G32" s="225">
        <f t="shared" si="36"/>
        <v>0</v>
      </c>
      <c r="H32" s="315"/>
      <c r="I32" s="316"/>
      <c r="J32" s="225">
        <f t="shared" si="37"/>
        <v>0</v>
      </c>
      <c r="K32" s="315"/>
      <c r="L32" s="316"/>
      <c r="M32" s="225">
        <f t="shared" si="38"/>
        <v>0</v>
      </c>
      <c r="N32" s="315"/>
      <c r="O32" s="316"/>
      <c r="P32" s="225">
        <f t="shared" si="39"/>
        <v>0</v>
      </c>
      <c r="Q32" s="315"/>
      <c r="R32" s="316"/>
      <c r="S32" s="225">
        <f t="shared" si="40"/>
        <v>0</v>
      </c>
      <c r="T32" s="315"/>
      <c r="U32" s="316"/>
      <c r="V32" s="225">
        <f t="shared" si="41"/>
        <v>0</v>
      </c>
      <c r="W32" s="315"/>
      <c r="X32" s="316"/>
      <c r="Y32" s="225">
        <f t="shared" si="42"/>
        <v>0</v>
      </c>
      <c r="Z32" s="315"/>
      <c r="AA32" s="316"/>
      <c r="AB32" s="225">
        <f t="shared" si="43"/>
        <v>0</v>
      </c>
      <c r="AC32" s="315"/>
      <c r="AD32" s="316"/>
      <c r="AE32" s="225">
        <f t="shared" si="44"/>
        <v>0</v>
      </c>
      <c r="AF32" s="315"/>
      <c r="AG32" s="316"/>
      <c r="AH32" s="225">
        <f t="shared" si="45"/>
        <v>0</v>
      </c>
      <c r="AI32" s="315"/>
      <c r="AJ32" s="316"/>
      <c r="AK32" s="225">
        <f t="shared" si="46"/>
        <v>0</v>
      </c>
    </row>
    <row r="33" spans="1:37">
      <c r="A33" s="4" t="s">
        <v>352</v>
      </c>
      <c r="B33" s="315"/>
      <c r="C33" s="316"/>
      <c r="D33" s="225">
        <f t="shared" si="47"/>
        <v>0</v>
      </c>
      <c r="E33" s="315"/>
      <c r="F33" s="316"/>
      <c r="G33" s="225">
        <f t="shared" si="36"/>
        <v>0</v>
      </c>
      <c r="H33" s="315"/>
      <c r="I33" s="316"/>
      <c r="J33" s="225">
        <f t="shared" si="37"/>
        <v>0</v>
      </c>
      <c r="K33" s="315"/>
      <c r="L33" s="316"/>
      <c r="M33" s="225">
        <f t="shared" si="38"/>
        <v>0</v>
      </c>
      <c r="N33" s="315"/>
      <c r="O33" s="316"/>
      <c r="P33" s="225">
        <f t="shared" si="39"/>
        <v>0</v>
      </c>
      <c r="Q33" s="315"/>
      <c r="R33" s="316"/>
      <c r="S33" s="225">
        <f t="shared" si="40"/>
        <v>0</v>
      </c>
      <c r="T33" s="315"/>
      <c r="U33" s="316"/>
      <c r="V33" s="225">
        <f t="shared" si="41"/>
        <v>0</v>
      </c>
      <c r="W33" s="315"/>
      <c r="X33" s="316"/>
      <c r="Y33" s="225">
        <f t="shared" si="42"/>
        <v>0</v>
      </c>
      <c r="Z33" s="315"/>
      <c r="AA33" s="316"/>
      <c r="AB33" s="225">
        <f t="shared" si="43"/>
        <v>0</v>
      </c>
      <c r="AC33" s="315"/>
      <c r="AD33" s="316"/>
      <c r="AE33" s="225">
        <f t="shared" si="44"/>
        <v>0</v>
      </c>
      <c r="AF33" s="315"/>
      <c r="AG33" s="316"/>
      <c r="AH33" s="225">
        <f t="shared" si="45"/>
        <v>0</v>
      </c>
      <c r="AI33" s="315"/>
      <c r="AJ33" s="316"/>
      <c r="AK33" s="225">
        <f t="shared" si="46"/>
        <v>0</v>
      </c>
    </row>
    <row r="34" spans="1:37">
      <c r="A34" s="4" t="s">
        <v>353</v>
      </c>
      <c r="B34" s="315"/>
      <c r="C34" s="316"/>
      <c r="D34" s="225">
        <f t="shared" si="47"/>
        <v>0</v>
      </c>
      <c r="E34" s="315"/>
      <c r="F34" s="316"/>
      <c r="G34" s="225">
        <f t="shared" si="36"/>
        <v>0</v>
      </c>
      <c r="H34" s="315"/>
      <c r="I34" s="316"/>
      <c r="J34" s="225">
        <f t="shared" si="37"/>
        <v>0</v>
      </c>
      <c r="K34" s="315"/>
      <c r="L34" s="316"/>
      <c r="M34" s="225">
        <f t="shared" si="38"/>
        <v>0</v>
      </c>
      <c r="N34" s="315"/>
      <c r="O34" s="316"/>
      <c r="P34" s="225">
        <f t="shared" si="39"/>
        <v>0</v>
      </c>
      <c r="Q34" s="315">
        <v>1</v>
      </c>
      <c r="R34" s="316">
        <v>400</v>
      </c>
      <c r="S34" s="225">
        <f t="shared" si="40"/>
        <v>400</v>
      </c>
      <c r="T34" s="315"/>
      <c r="U34" s="316"/>
      <c r="V34" s="225">
        <f t="shared" si="41"/>
        <v>0</v>
      </c>
      <c r="W34" s="315"/>
      <c r="X34" s="316"/>
      <c r="Y34" s="225">
        <f t="shared" si="42"/>
        <v>0</v>
      </c>
      <c r="Z34" s="315"/>
      <c r="AA34" s="316"/>
      <c r="AB34" s="225">
        <f t="shared" si="43"/>
        <v>0</v>
      </c>
      <c r="AC34" s="315"/>
      <c r="AD34" s="316"/>
      <c r="AE34" s="225">
        <f t="shared" si="44"/>
        <v>0</v>
      </c>
      <c r="AF34" s="315"/>
      <c r="AG34" s="316"/>
      <c r="AH34" s="225">
        <f t="shared" si="45"/>
        <v>0</v>
      </c>
      <c r="AI34" s="315"/>
      <c r="AJ34" s="316"/>
      <c r="AK34" s="225">
        <f t="shared" si="46"/>
        <v>0</v>
      </c>
    </row>
    <row r="35" spans="1:37">
      <c r="A35" s="4" t="s">
        <v>354</v>
      </c>
      <c r="B35" s="315"/>
      <c r="C35" s="316"/>
      <c r="D35" s="225">
        <f t="shared" si="47"/>
        <v>0</v>
      </c>
      <c r="E35" s="315"/>
      <c r="F35" s="316"/>
      <c r="G35" s="225">
        <f t="shared" si="36"/>
        <v>0</v>
      </c>
      <c r="H35" s="315"/>
      <c r="I35" s="316"/>
      <c r="J35" s="225">
        <f t="shared" si="37"/>
        <v>0</v>
      </c>
      <c r="K35" s="315"/>
      <c r="L35" s="316"/>
      <c r="M35" s="225">
        <f t="shared" si="38"/>
        <v>0</v>
      </c>
      <c r="N35" s="315"/>
      <c r="O35" s="316"/>
      <c r="P35" s="225">
        <f t="shared" si="39"/>
        <v>0</v>
      </c>
      <c r="Q35" s="315"/>
      <c r="R35" s="316"/>
      <c r="S35" s="225">
        <f t="shared" si="40"/>
        <v>0</v>
      </c>
      <c r="T35" s="315"/>
      <c r="U35" s="316"/>
      <c r="V35" s="225">
        <f t="shared" si="41"/>
        <v>0</v>
      </c>
      <c r="W35" s="315"/>
      <c r="X35" s="316"/>
      <c r="Y35" s="225">
        <f t="shared" si="42"/>
        <v>0</v>
      </c>
      <c r="Z35" s="315"/>
      <c r="AA35" s="316"/>
      <c r="AB35" s="225">
        <f t="shared" si="43"/>
        <v>0</v>
      </c>
      <c r="AC35" s="315"/>
      <c r="AD35" s="316"/>
      <c r="AE35" s="225">
        <f t="shared" si="44"/>
        <v>0</v>
      </c>
      <c r="AF35" s="315"/>
      <c r="AG35" s="316"/>
      <c r="AH35" s="225">
        <f t="shared" si="45"/>
        <v>0</v>
      </c>
      <c r="AI35" s="315"/>
      <c r="AJ35" s="316"/>
      <c r="AK35" s="225">
        <f t="shared" si="46"/>
        <v>0</v>
      </c>
    </row>
    <row r="36" spans="1:37">
      <c r="A36" s="4" t="s">
        <v>355</v>
      </c>
      <c r="B36" s="315"/>
      <c r="C36" s="316"/>
      <c r="D36" s="225">
        <f t="shared" si="47"/>
        <v>0</v>
      </c>
      <c r="E36" s="315"/>
      <c r="F36" s="316"/>
      <c r="G36" s="225">
        <f t="shared" si="36"/>
        <v>0</v>
      </c>
      <c r="H36" s="315"/>
      <c r="I36" s="316"/>
      <c r="J36" s="225">
        <f t="shared" si="37"/>
        <v>0</v>
      </c>
      <c r="K36" s="315"/>
      <c r="L36" s="316"/>
      <c r="M36" s="225">
        <f t="shared" si="38"/>
        <v>0</v>
      </c>
      <c r="N36" s="315"/>
      <c r="O36" s="316"/>
      <c r="P36" s="225">
        <f t="shared" si="39"/>
        <v>0</v>
      </c>
      <c r="Q36" s="315"/>
      <c r="R36" s="316"/>
      <c r="S36" s="225">
        <f t="shared" si="40"/>
        <v>0</v>
      </c>
      <c r="T36" s="315"/>
      <c r="U36" s="316"/>
      <c r="V36" s="225">
        <f t="shared" si="41"/>
        <v>0</v>
      </c>
      <c r="W36" s="315"/>
      <c r="X36" s="316"/>
      <c r="Y36" s="225">
        <f t="shared" si="42"/>
        <v>0</v>
      </c>
      <c r="Z36" s="315"/>
      <c r="AA36" s="316"/>
      <c r="AB36" s="225">
        <f t="shared" si="43"/>
        <v>0</v>
      </c>
      <c r="AC36" s="315"/>
      <c r="AD36" s="316"/>
      <c r="AE36" s="225">
        <f t="shared" si="44"/>
        <v>0</v>
      </c>
      <c r="AF36" s="315"/>
      <c r="AG36" s="316"/>
      <c r="AH36" s="225">
        <f t="shared" si="45"/>
        <v>0</v>
      </c>
      <c r="AI36" s="315"/>
      <c r="AJ36" s="316"/>
      <c r="AK36" s="225">
        <f t="shared" si="46"/>
        <v>0</v>
      </c>
    </row>
    <row r="37" spans="1:37">
      <c r="A37" s="4" t="s">
        <v>356</v>
      </c>
      <c r="B37" s="315"/>
      <c r="C37" s="316"/>
      <c r="D37" s="225">
        <f t="shared" si="47"/>
        <v>0</v>
      </c>
      <c r="E37" s="315"/>
      <c r="F37" s="316"/>
      <c r="G37" s="225">
        <f t="shared" si="36"/>
        <v>0</v>
      </c>
      <c r="H37" s="315"/>
      <c r="I37" s="316"/>
      <c r="J37" s="225">
        <f t="shared" si="37"/>
        <v>0</v>
      </c>
      <c r="K37" s="315"/>
      <c r="L37" s="316"/>
      <c r="M37" s="225">
        <f t="shared" si="38"/>
        <v>0</v>
      </c>
      <c r="N37" s="315"/>
      <c r="O37" s="316"/>
      <c r="P37" s="225">
        <f t="shared" si="39"/>
        <v>0</v>
      </c>
      <c r="Q37" s="315"/>
      <c r="R37" s="316"/>
      <c r="S37" s="225">
        <f t="shared" si="40"/>
        <v>0</v>
      </c>
      <c r="T37" s="315"/>
      <c r="U37" s="316"/>
      <c r="V37" s="225">
        <f t="shared" si="41"/>
        <v>0</v>
      </c>
      <c r="W37" s="315"/>
      <c r="X37" s="316"/>
      <c r="Y37" s="225">
        <f t="shared" si="42"/>
        <v>0</v>
      </c>
      <c r="Z37" s="315"/>
      <c r="AA37" s="316"/>
      <c r="AB37" s="225">
        <f t="shared" si="43"/>
        <v>0</v>
      </c>
      <c r="AC37" s="315"/>
      <c r="AD37" s="316"/>
      <c r="AE37" s="225">
        <f t="shared" si="44"/>
        <v>0</v>
      </c>
      <c r="AF37" s="315"/>
      <c r="AG37" s="316"/>
      <c r="AH37" s="225">
        <f t="shared" si="45"/>
        <v>0</v>
      </c>
      <c r="AI37" s="315"/>
      <c r="AJ37" s="316"/>
      <c r="AK37" s="225">
        <f t="shared" si="46"/>
        <v>0</v>
      </c>
    </row>
    <row r="38" spans="1:37">
      <c r="A38" s="4" t="s">
        <v>357</v>
      </c>
      <c r="B38" s="315"/>
      <c r="C38" s="316"/>
      <c r="D38" s="225">
        <f t="shared" si="47"/>
        <v>0</v>
      </c>
      <c r="E38" s="315"/>
      <c r="F38" s="316"/>
      <c r="G38" s="225">
        <f t="shared" si="36"/>
        <v>0</v>
      </c>
      <c r="H38" s="315"/>
      <c r="I38" s="316"/>
      <c r="J38" s="225">
        <f t="shared" si="37"/>
        <v>0</v>
      </c>
      <c r="K38" s="315"/>
      <c r="L38" s="316"/>
      <c r="M38" s="225">
        <f t="shared" si="38"/>
        <v>0</v>
      </c>
      <c r="N38" s="315"/>
      <c r="O38" s="316"/>
      <c r="P38" s="225">
        <f t="shared" si="39"/>
        <v>0</v>
      </c>
      <c r="Q38" s="315"/>
      <c r="R38" s="316"/>
      <c r="S38" s="225">
        <f t="shared" si="40"/>
        <v>0</v>
      </c>
      <c r="T38" s="315"/>
      <c r="U38" s="316"/>
      <c r="V38" s="225">
        <f t="shared" si="41"/>
        <v>0</v>
      </c>
      <c r="W38" s="315"/>
      <c r="X38" s="316"/>
      <c r="Y38" s="225">
        <f t="shared" si="42"/>
        <v>0</v>
      </c>
      <c r="Z38" s="315"/>
      <c r="AA38" s="316"/>
      <c r="AB38" s="225">
        <f t="shared" si="43"/>
        <v>0</v>
      </c>
      <c r="AC38" s="315"/>
      <c r="AD38" s="316"/>
      <c r="AE38" s="225">
        <f t="shared" si="44"/>
        <v>0</v>
      </c>
      <c r="AF38" s="315"/>
      <c r="AG38" s="316"/>
      <c r="AH38" s="225">
        <f t="shared" si="45"/>
        <v>0</v>
      </c>
      <c r="AI38" s="315"/>
      <c r="AJ38" s="316"/>
      <c r="AK38" s="225">
        <f t="shared" si="46"/>
        <v>0</v>
      </c>
    </row>
    <row r="39" spans="1:37">
      <c r="A39" s="356" t="s">
        <v>358</v>
      </c>
      <c r="B39" s="357"/>
      <c r="C39" s="354"/>
      <c r="D39" s="355">
        <f t="shared" si="47"/>
        <v>0</v>
      </c>
      <c r="E39" s="357"/>
      <c r="F39" s="354"/>
      <c r="G39" s="355">
        <f t="shared" si="36"/>
        <v>0</v>
      </c>
      <c r="H39" s="357"/>
      <c r="I39" s="354"/>
      <c r="J39" s="355">
        <f t="shared" si="37"/>
        <v>0</v>
      </c>
      <c r="K39" s="357"/>
      <c r="L39" s="354"/>
      <c r="M39" s="355">
        <f t="shared" si="38"/>
        <v>0</v>
      </c>
      <c r="N39" s="357"/>
      <c r="O39" s="354"/>
      <c r="P39" s="355">
        <f t="shared" si="39"/>
        <v>0</v>
      </c>
      <c r="Q39" s="357"/>
      <c r="R39" s="354"/>
      <c r="S39" s="355">
        <f t="shared" si="40"/>
        <v>0</v>
      </c>
      <c r="T39" s="357"/>
      <c r="U39" s="354"/>
      <c r="V39" s="355">
        <f t="shared" si="41"/>
        <v>0</v>
      </c>
      <c r="W39" s="357"/>
      <c r="X39" s="354"/>
      <c r="Y39" s="355">
        <f t="shared" si="42"/>
        <v>0</v>
      </c>
      <c r="Z39" s="357"/>
      <c r="AA39" s="354"/>
      <c r="AB39" s="355">
        <f t="shared" si="43"/>
        <v>0</v>
      </c>
      <c r="AC39" s="357"/>
      <c r="AD39" s="354"/>
      <c r="AE39" s="355">
        <f t="shared" si="44"/>
        <v>0</v>
      </c>
      <c r="AF39" s="357"/>
      <c r="AG39" s="354"/>
      <c r="AH39" s="355">
        <f t="shared" si="45"/>
        <v>0</v>
      </c>
      <c r="AI39" s="357"/>
      <c r="AJ39" s="354"/>
      <c r="AK39" s="355">
        <f t="shared" si="46"/>
        <v>0</v>
      </c>
    </row>
    <row r="40" spans="1:37" ht="15.75" thickBot="1">
      <c r="A40" s="349" t="s">
        <v>348</v>
      </c>
      <c r="B40" s="350"/>
      <c r="C40" s="351"/>
      <c r="D40" s="226">
        <f>SUM(D29:D39)</f>
        <v>0</v>
      </c>
      <c r="E40" s="350"/>
      <c r="F40" s="351"/>
      <c r="G40" s="226">
        <f>SUM(G29:G39)</f>
        <v>0</v>
      </c>
      <c r="H40" s="350"/>
      <c r="I40" s="351"/>
      <c r="J40" s="351">
        <f t="shared" ref="J40" si="48">SUM(J29:J39)</f>
        <v>0</v>
      </c>
      <c r="K40" s="350"/>
      <c r="L40" s="351"/>
      <c r="M40" s="351">
        <f t="shared" ref="M40" si="49">SUM(M29:M39)</f>
        <v>0</v>
      </c>
      <c r="N40" s="350"/>
      <c r="O40" s="351"/>
      <c r="P40" s="351">
        <f t="shared" ref="P40" si="50">SUM(P29:P39)</f>
        <v>0</v>
      </c>
      <c r="Q40" s="350"/>
      <c r="R40" s="351"/>
      <c r="S40" s="351">
        <f t="shared" ref="S40" si="51">SUM(S29:S39)</f>
        <v>490</v>
      </c>
      <c r="T40" s="350"/>
      <c r="U40" s="351"/>
      <c r="V40" s="226">
        <f>SUM(V29:V39)</f>
        <v>0</v>
      </c>
      <c r="W40" s="350"/>
      <c r="X40" s="351"/>
      <c r="Y40" s="226">
        <f>SUM(Y29:Y39)</f>
        <v>0</v>
      </c>
      <c r="Z40" s="350"/>
      <c r="AA40" s="351"/>
      <c r="AB40" s="226">
        <f>SUM(AB29:AB39)</f>
        <v>0</v>
      </c>
      <c r="AC40" s="350"/>
      <c r="AD40" s="351"/>
      <c r="AE40" s="226">
        <f>SUM(AE29:AE39)</f>
        <v>0</v>
      </c>
      <c r="AF40" s="350"/>
      <c r="AG40" s="351"/>
      <c r="AH40" s="226">
        <f>SUM(AH29:AH39)</f>
        <v>0</v>
      </c>
      <c r="AI40" s="350"/>
      <c r="AJ40" s="351"/>
      <c r="AK40" s="226">
        <f>SUM(AK29:AK39)</f>
        <v>0</v>
      </c>
    </row>
    <row r="41" spans="1:37">
      <c r="A41" s="18" t="s">
        <v>62</v>
      </c>
      <c r="B41" s="19" t="s">
        <v>100</v>
      </c>
      <c r="C41" s="240" t="s">
        <v>101</v>
      </c>
      <c r="D41" s="230" t="s">
        <v>102</v>
      </c>
      <c r="E41" s="19" t="s">
        <v>100</v>
      </c>
      <c r="F41" s="240" t="s">
        <v>101</v>
      </c>
      <c r="G41" s="230" t="s">
        <v>102</v>
      </c>
      <c r="H41" s="19" t="s">
        <v>100</v>
      </c>
      <c r="I41" s="240" t="s">
        <v>101</v>
      </c>
      <c r="J41" s="230" t="s">
        <v>102</v>
      </c>
      <c r="K41" s="19" t="s">
        <v>100</v>
      </c>
      <c r="L41" s="240" t="s">
        <v>101</v>
      </c>
      <c r="M41" s="230" t="s">
        <v>102</v>
      </c>
      <c r="N41" s="19" t="s">
        <v>100</v>
      </c>
      <c r="O41" s="240" t="s">
        <v>101</v>
      </c>
      <c r="P41" s="230" t="s">
        <v>102</v>
      </c>
      <c r="Q41" s="19" t="s">
        <v>100</v>
      </c>
      <c r="R41" s="240" t="s">
        <v>101</v>
      </c>
      <c r="S41" s="230" t="s">
        <v>102</v>
      </c>
      <c r="T41" s="19" t="s">
        <v>100</v>
      </c>
      <c r="U41" s="240" t="s">
        <v>101</v>
      </c>
      <c r="V41" s="230" t="s">
        <v>102</v>
      </c>
      <c r="W41" s="19" t="s">
        <v>100</v>
      </c>
      <c r="X41" s="240" t="s">
        <v>101</v>
      </c>
      <c r="Y41" s="230" t="s">
        <v>102</v>
      </c>
      <c r="Z41" s="19" t="s">
        <v>100</v>
      </c>
      <c r="AA41" s="240" t="s">
        <v>101</v>
      </c>
      <c r="AB41" s="230" t="s">
        <v>102</v>
      </c>
      <c r="AC41" s="19" t="s">
        <v>100</v>
      </c>
      <c r="AD41" s="240" t="s">
        <v>101</v>
      </c>
      <c r="AE41" s="230" t="s">
        <v>102</v>
      </c>
      <c r="AF41" s="19" t="s">
        <v>100</v>
      </c>
      <c r="AG41" s="240" t="s">
        <v>101</v>
      </c>
      <c r="AH41" s="230" t="s">
        <v>102</v>
      </c>
      <c r="AI41" s="19" t="s">
        <v>100</v>
      </c>
      <c r="AJ41" s="240" t="s">
        <v>101</v>
      </c>
      <c r="AK41" s="230" t="s">
        <v>102</v>
      </c>
    </row>
    <row r="42" spans="1:37">
      <c r="A42" s="15" t="s">
        <v>269</v>
      </c>
      <c r="B42" s="323"/>
      <c r="C42" s="316"/>
      <c r="D42" s="225">
        <f>C42*B42</f>
        <v>0</v>
      </c>
      <c r="E42" s="323"/>
      <c r="F42" s="316"/>
      <c r="G42" s="225">
        <f t="shared" ref="G42:G51" si="52">F42*E42</f>
        <v>0</v>
      </c>
      <c r="H42" s="323"/>
      <c r="I42" s="316"/>
      <c r="J42" s="225">
        <f t="shared" ref="J42:J51" si="53">I42*H42</f>
        <v>0</v>
      </c>
      <c r="K42" s="323"/>
      <c r="L42" s="316"/>
      <c r="M42" s="225">
        <f t="shared" ref="M42:M51" si="54">L42*K42</f>
        <v>0</v>
      </c>
      <c r="N42" s="323"/>
      <c r="O42" s="316"/>
      <c r="P42" s="225">
        <f t="shared" ref="P42:P51" si="55">O42*N42</f>
        <v>0</v>
      </c>
      <c r="Q42" s="323"/>
      <c r="R42" s="316"/>
      <c r="S42" s="225">
        <f t="shared" ref="S42:S51" si="56">R42*Q42</f>
        <v>0</v>
      </c>
      <c r="T42" s="323"/>
      <c r="U42" s="316"/>
      <c r="V42" s="225">
        <f t="shared" ref="V42:V51" si="57">U42*T42</f>
        <v>0</v>
      </c>
      <c r="W42" s="323"/>
      <c r="X42" s="316"/>
      <c r="Y42" s="225">
        <f t="shared" ref="Y42:Y51" si="58">X42*W42</f>
        <v>0</v>
      </c>
      <c r="Z42" s="323"/>
      <c r="AA42" s="316"/>
      <c r="AB42" s="225">
        <f t="shared" ref="AB42:AB51" si="59">AA42*Z42</f>
        <v>0</v>
      </c>
      <c r="AC42" s="323"/>
      <c r="AD42" s="316"/>
      <c r="AE42" s="225">
        <f t="shared" ref="AE42:AE51" si="60">AD42*AC42</f>
        <v>0</v>
      </c>
      <c r="AF42" s="323"/>
      <c r="AG42" s="316"/>
      <c r="AH42" s="225">
        <f t="shared" ref="AH42:AH51" si="61">AG42*AF42</f>
        <v>0</v>
      </c>
      <c r="AI42" s="323"/>
      <c r="AJ42" s="316"/>
      <c r="AK42" s="225">
        <f t="shared" ref="AK42:AK51" si="62">AJ42*AI42</f>
        <v>0</v>
      </c>
    </row>
    <row r="43" spans="1:37">
      <c r="A43" s="15" t="s">
        <v>268</v>
      </c>
      <c r="B43" s="323"/>
      <c r="C43" s="316"/>
      <c r="D43" s="225">
        <f t="shared" ref="D43:D50" si="63">C43*B43</f>
        <v>0</v>
      </c>
      <c r="E43" s="323"/>
      <c r="F43" s="316"/>
      <c r="G43" s="225">
        <f t="shared" si="52"/>
        <v>0</v>
      </c>
      <c r="H43" s="323"/>
      <c r="I43" s="316"/>
      <c r="J43" s="225">
        <f t="shared" si="53"/>
        <v>0</v>
      </c>
      <c r="K43" s="323"/>
      <c r="L43" s="316"/>
      <c r="M43" s="225">
        <f t="shared" si="54"/>
        <v>0</v>
      </c>
      <c r="N43" s="323">
        <v>1</v>
      </c>
      <c r="O43" s="316">
        <v>21</v>
      </c>
      <c r="P43" s="225">
        <f t="shared" si="55"/>
        <v>21</v>
      </c>
      <c r="Q43" s="323"/>
      <c r="R43" s="316"/>
      <c r="S43" s="225">
        <f t="shared" si="56"/>
        <v>0</v>
      </c>
      <c r="T43" s="323"/>
      <c r="U43" s="316"/>
      <c r="V43" s="225">
        <f t="shared" si="57"/>
        <v>0</v>
      </c>
      <c r="W43" s="323"/>
      <c r="X43" s="316"/>
      <c r="Y43" s="225">
        <f t="shared" si="58"/>
        <v>0</v>
      </c>
      <c r="Z43" s="323"/>
      <c r="AA43" s="316"/>
      <c r="AB43" s="225">
        <f t="shared" si="59"/>
        <v>0</v>
      </c>
      <c r="AC43" s="323"/>
      <c r="AD43" s="316"/>
      <c r="AE43" s="225">
        <f t="shared" si="60"/>
        <v>0</v>
      </c>
      <c r="AF43" s="323"/>
      <c r="AG43" s="316"/>
      <c r="AH43" s="225">
        <f t="shared" si="61"/>
        <v>0</v>
      </c>
      <c r="AI43" s="323"/>
      <c r="AJ43" s="316"/>
      <c r="AK43" s="225">
        <f t="shared" si="62"/>
        <v>0</v>
      </c>
    </row>
    <row r="44" spans="1:37">
      <c r="A44" s="15" t="s">
        <v>63</v>
      </c>
      <c r="B44" s="323">
        <v>4</v>
      </c>
      <c r="C44" s="316">
        <v>27.75</v>
      </c>
      <c r="D44" s="225">
        <f t="shared" si="63"/>
        <v>111</v>
      </c>
      <c r="E44" s="323">
        <v>4</v>
      </c>
      <c r="F44" s="316">
        <v>28</v>
      </c>
      <c r="G44" s="225">
        <f t="shared" si="52"/>
        <v>112</v>
      </c>
      <c r="H44" s="323">
        <v>7</v>
      </c>
      <c r="I44" s="316">
        <v>30</v>
      </c>
      <c r="J44" s="225">
        <f t="shared" si="53"/>
        <v>210</v>
      </c>
      <c r="K44" s="323">
        <v>4</v>
      </c>
      <c r="L44" s="316">
        <v>30</v>
      </c>
      <c r="M44" s="225">
        <f t="shared" si="54"/>
        <v>120</v>
      </c>
      <c r="N44" s="323">
        <v>2</v>
      </c>
      <c r="O44" s="316">
        <v>28</v>
      </c>
      <c r="P44" s="225">
        <f t="shared" si="55"/>
        <v>56</v>
      </c>
      <c r="Q44" s="323">
        <v>2</v>
      </c>
      <c r="R44" s="316">
        <v>42</v>
      </c>
      <c r="S44" s="225">
        <f t="shared" si="56"/>
        <v>84</v>
      </c>
      <c r="T44" s="323">
        <v>8</v>
      </c>
      <c r="U44" s="316">
        <v>30</v>
      </c>
      <c r="V44" s="225">
        <f t="shared" si="57"/>
        <v>240</v>
      </c>
      <c r="W44" s="323"/>
      <c r="X44" s="316"/>
      <c r="Y44" s="225">
        <f t="shared" si="58"/>
        <v>0</v>
      </c>
      <c r="Z44" s="323"/>
      <c r="AA44" s="316"/>
      <c r="AB44" s="225">
        <f t="shared" si="59"/>
        <v>0</v>
      </c>
      <c r="AC44" s="323"/>
      <c r="AD44" s="316"/>
      <c r="AE44" s="225">
        <f t="shared" si="60"/>
        <v>0</v>
      </c>
      <c r="AF44" s="323"/>
      <c r="AG44" s="316"/>
      <c r="AH44" s="225">
        <f t="shared" si="61"/>
        <v>0</v>
      </c>
      <c r="AI44" s="323"/>
      <c r="AJ44" s="316"/>
      <c r="AK44" s="225">
        <f t="shared" si="62"/>
        <v>0</v>
      </c>
    </row>
    <row r="45" spans="1:37">
      <c r="A45" s="15" t="s">
        <v>64</v>
      </c>
      <c r="B45" s="323">
        <v>12</v>
      </c>
      <c r="C45" s="316">
        <v>21.75</v>
      </c>
      <c r="D45" s="225">
        <f t="shared" si="63"/>
        <v>261</v>
      </c>
      <c r="E45" s="323">
        <v>8</v>
      </c>
      <c r="F45" s="316">
        <v>22</v>
      </c>
      <c r="G45" s="225">
        <f t="shared" si="52"/>
        <v>176</v>
      </c>
      <c r="H45" s="323">
        <v>8</v>
      </c>
      <c r="I45" s="316">
        <v>22</v>
      </c>
      <c r="J45" s="225">
        <f t="shared" si="53"/>
        <v>176</v>
      </c>
      <c r="K45" s="323">
        <v>8</v>
      </c>
      <c r="L45" s="316">
        <v>20.75</v>
      </c>
      <c r="M45" s="225">
        <f t="shared" si="54"/>
        <v>166</v>
      </c>
      <c r="N45" s="323">
        <v>13</v>
      </c>
      <c r="O45" s="316">
        <v>18.46</v>
      </c>
      <c r="P45" s="225">
        <f t="shared" si="55"/>
        <v>239.98000000000002</v>
      </c>
      <c r="Q45" s="323">
        <v>16</v>
      </c>
      <c r="R45" s="316">
        <v>21.25</v>
      </c>
      <c r="S45" s="225">
        <f t="shared" si="56"/>
        <v>340</v>
      </c>
      <c r="T45" s="323">
        <v>14</v>
      </c>
      <c r="U45" s="316">
        <v>22</v>
      </c>
      <c r="V45" s="225">
        <f t="shared" si="57"/>
        <v>308</v>
      </c>
      <c r="W45" s="323"/>
      <c r="X45" s="316"/>
      <c r="Y45" s="225">
        <f t="shared" si="58"/>
        <v>0</v>
      </c>
      <c r="Z45" s="323"/>
      <c r="AA45" s="316"/>
      <c r="AB45" s="225">
        <f t="shared" si="59"/>
        <v>0</v>
      </c>
      <c r="AC45" s="323"/>
      <c r="AD45" s="316"/>
      <c r="AE45" s="225">
        <f t="shared" si="60"/>
        <v>0</v>
      </c>
      <c r="AF45" s="323"/>
      <c r="AG45" s="316"/>
      <c r="AH45" s="225">
        <f t="shared" si="61"/>
        <v>0</v>
      </c>
      <c r="AI45" s="323"/>
      <c r="AJ45" s="316"/>
      <c r="AK45" s="225">
        <f t="shared" si="62"/>
        <v>0</v>
      </c>
    </row>
    <row r="46" spans="1:37">
      <c r="A46" s="15" t="s">
        <v>65</v>
      </c>
      <c r="B46" s="323">
        <v>4</v>
      </c>
      <c r="C46" s="316">
        <v>43.25</v>
      </c>
      <c r="D46" s="225">
        <f t="shared" si="63"/>
        <v>173</v>
      </c>
      <c r="E46" s="323">
        <v>4</v>
      </c>
      <c r="F46" s="316">
        <v>45</v>
      </c>
      <c r="G46" s="225">
        <f t="shared" si="52"/>
        <v>180</v>
      </c>
      <c r="H46" s="323">
        <v>2</v>
      </c>
      <c r="I46" s="316">
        <v>45</v>
      </c>
      <c r="J46" s="225">
        <f t="shared" si="53"/>
        <v>90</v>
      </c>
      <c r="K46" s="323"/>
      <c r="L46" s="316"/>
      <c r="M46" s="225">
        <f t="shared" si="54"/>
        <v>0</v>
      </c>
      <c r="N46" s="323"/>
      <c r="O46" s="316"/>
      <c r="P46" s="225">
        <f t="shared" si="55"/>
        <v>0</v>
      </c>
      <c r="Q46" s="323">
        <v>1</v>
      </c>
      <c r="R46" s="316">
        <v>47</v>
      </c>
      <c r="S46" s="225">
        <f t="shared" si="56"/>
        <v>47</v>
      </c>
      <c r="T46" s="323"/>
      <c r="U46" s="316"/>
      <c r="V46" s="225">
        <f t="shared" si="57"/>
        <v>0</v>
      </c>
      <c r="W46" s="323"/>
      <c r="X46" s="316"/>
      <c r="Y46" s="225">
        <f t="shared" si="58"/>
        <v>0</v>
      </c>
      <c r="Z46" s="323"/>
      <c r="AA46" s="316"/>
      <c r="AB46" s="225">
        <f t="shared" si="59"/>
        <v>0</v>
      </c>
      <c r="AC46" s="323"/>
      <c r="AD46" s="316"/>
      <c r="AE46" s="225">
        <f t="shared" si="60"/>
        <v>0</v>
      </c>
      <c r="AF46" s="323"/>
      <c r="AG46" s="316"/>
      <c r="AH46" s="225">
        <f t="shared" si="61"/>
        <v>0</v>
      </c>
      <c r="AI46" s="323"/>
      <c r="AJ46" s="316"/>
      <c r="AK46" s="225">
        <f t="shared" si="62"/>
        <v>0</v>
      </c>
    </row>
    <row r="47" spans="1:37">
      <c r="A47" s="15" t="s">
        <v>66</v>
      </c>
      <c r="B47" s="323">
        <v>4</v>
      </c>
      <c r="C47" s="316">
        <v>70</v>
      </c>
      <c r="D47" s="225">
        <f t="shared" si="63"/>
        <v>280</v>
      </c>
      <c r="E47" s="323">
        <v>4</v>
      </c>
      <c r="F47" s="316">
        <v>70</v>
      </c>
      <c r="G47" s="225">
        <f t="shared" si="52"/>
        <v>280</v>
      </c>
      <c r="H47" s="323">
        <v>4</v>
      </c>
      <c r="I47" s="316">
        <v>67</v>
      </c>
      <c r="J47" s="225">
        <f t="shared" si="53"/>
        <v>268</v>
      </c>
      <c r="K47" s="323">
        <v>4</v>
      </c>
      <c r="L47" s="316">
        <v>70</v>
      </c>
      <c r="M47" s="225">
        <f t="shared" si="54"/>
        <v>280</v>
      </c>
      <c r="N47" s="323">
        <v>5</v>
      </c>
      <c r="O47" s="316">
        <v>70</v>
      </c>
      <c r="P47" s="225">
        <f t="shared" si="55"/>
        <v>350</v>
      </c>
      <c r="Q47" s="323">
        <v>7</v>
      </c>
      <c r="R47" s="316">
        <v>70</v>
      </c>
      <c r="S47" s="225">
        <f t="shared" si="56"/>
        <v>490</v>
      </c>
      <c r="T47" s="323">
        <v>11</v>
      </c>
      <c r="U47" s="316">
        <v>70</v>
      </c>
      <c r="V47" s="225">
        <f t="shared" si="57"/>
        <v>770</v>
      </c>
      <c r="W47" s="323"/>
      <c r="X47" s="316"/>
      <c r="Y47" s="225">
        <f t="shared" si="58"/>
        <v>0</v>
      </c>
      <c r="Z47" s="323"/>
      <c r="AA47" s="316"/>
      <c r="AB47" s="225">
        <f t="shared" si="59"/>
        <v>0</v>
      </c>
      <c r="AC47" s="323"/>
      <c r="AD47" s="316"/>
      <c r="AE47" s="225">
        <f t="shared" si="60"/>
        <v>0</v>
      </c>
      <c r="AF47" s="323"/>
      <c r="AG47" s="316"/>
      <c r="AH47" s="225">
        <f t="shared" si="61"/>
        <v>0</v>
      </c>
      <c r="AI47" s="323"/>
      <c r="AJ47" s="316"/>
      <c r="AK47" s="225">
        <f t="shared" si="62"/>
        <v>0</v>
      </c>
    </row>
    <row r="48" spans="1:37">
      <c r="A48" s="15" t="s">
        <v>67</v>
      </c>
      <c r="B48" s="323"/>
      <c r="C48" s="316"/>
      <c r="D48" s="225">
        <f t="shared" si="63"/>
        <v>0</v>
      </c>
      <c r="E48" s="323"/>
      <c r="F48" s="316"/>
      <c r="G48" s="225">
        <f t="shared" si="52"/>
        <v>0</v>
      </c>
      <c r="H48" s="323"/>
      <c r="I48" s="316"/>
      <c r="J48" s="225">
        <f t="shared" si="53"/>
        <v>0</v>
      </c>
      <c r="K48" s="323"/>
      <c r="L48" s="316"/>
      <c r="M48" s="225">
        <f t="shared" si="54"/>
        <v>0</v>
      </c>
      <c r="N48" s="323"/>
      <c r="O48" s="316"/>
      <c r="P48" s="225">
        <f t="shared" si="55"/>
        <v>0</v>
      </c>
      <c r="Q48" s="323"/>
      <c r="R48" s="316"/>
      <c r="S48" s="225">
        <f t="shared" si="56"/>
        <v>0</v>
      </c>
      <c r="T48" s="323"/>
      <c r="U48" s="316"/>
      <c r="V48" s="225">
        <f t="shared" si="57"/>
        <v>0</v>
      </c>
      <c r="W48" s="323"/>
      <c r="X48" s="316"/>
      <c r="Y48" s="225">
        <f t="shared" si="58"/>
        <v>0</v>
      </c>
      <c r="Z48" s="323"/>
      <c r="AA48" s="316"/>
      <c r="AB48" s="225">
        <f t="shared" si="59"/>
        <v>0</v>
      </c>
      <c r="AC48" s="323"/>
      <c r="AD48" s="316"/>
      <c r="AE48" s="225">
        <f t="shared" si="60"/>
        <v>0</v>
      </c>
      <c r="AF48" s="323"/>
      <c r="AG48" s="316"/>
      <c r="AH48" s="225">
        <f t="shared" si="61"/>
        <v>0</v>
      </c>
      <c r="AI48" s="323"/>
      <c r="AJ48" s="316"/>
      <c r="AK48" s="225">
        <f t="shared" si="62"/>
        <v>0</v>
      </c>
    </row>
    <row r="49" spans="1:37">
      <c r="A49" s="15" t="s">
        <v>68</v>
      </c>
      <c r="B49" s="323"/>
      <c r="C49" s="316"/>
      <c r="D49" s="225">
        <f t="shared" si="63"/>
        <v>0</v>
      </c>
      <c r="E49" s="323"/>
      <c r="F49" s="316"/>
      <c r="G49" s="225">
        <f t="shared" si="52"/>
        <v>0</v>
      </c>
      <c r="H49" s="323"/>
      <c r="I49" s="316"/>
      <c r="J49" s="225">
        <f t="shared" si="53"/>
        <v>0</v>
      </c>
      <c r="K49" s="323"/>
      <c r="L49" s="316"/>
      <c r="M49" s="225">
        <f t="shared" si="54"/>
        <v>0</v>
      </c>
      <c r="N49" s="323"/>
      <c r="O49" s="316"/>
      <c r="P49" s="225">
        <f t="shared" si="55"/>
        <v>0</v>
      </c>
      <c r="Q49" s="323"/>
      <c r="R49" s="316"/>
      <c r="S49" s="225">
        <f t="shared" si="56"/>
        <v>0</v>
      </c>
      <c r="T49" s="323"/>
      <c r="U49" s="316"/>
      <c r="V49" s="225">
        <f t="shared" si="57"/>
        <v>0</v>
      </c>
      <c r="W49" s="323"/>
      <c r="X49" s="316"/>
      <c r="Y49" s="225">
        <f t="shared" si="58"/>
        <v>0</v>
      </c>
      <c r="Z49" s="323"/>
      <c r="AA49" s="316"/>
      <c r="AB49" s="225">
        <f t="shared" si="59"/>
        <v>0</v>
      </c>
      <c r="AC49" s="323"/>
      <c r="AD49" s="316"/>
      <c r="AE49" s="225">
        <f t="shared" si="60"/>
        <v>0</v>
      </c>
      <c r="AF49" s="323"/>
      <c r="AG49" s="316"/>
      <c r="AH49" s="225">
        <f t="shared" si="61"/>
        <v>0</v>
      </c>
      <c r="AI49" s="323"/>
      <c r="AJ49" s="316"/>
      <c r="AK49" s="225">
        <f t="shared" si="62"/>
        <v>0</v>
      </c>
    </row>
    <row r="50" spans="1:37">
      <c r="A50" s="15" t="s">
        <v>359</v>
      </c>
      <c r="B50" s="323"/>
      <c r="C50" s="316"/>
      <c r="D50" s="225">
        <f t="shared" si="63"/>
        <v>0</v>
      </c>
      <c r="E50" s="323">
        <v>10</v>
      </c>
      <c r="F50" s="316">
        <v>9</v>
      </c>
      <c r="G50" s="225">
        <f t="shared" si="52"/>
        <v>90</v>
      </c>
      <c r="H50" s="323"/>
      <c r="I50" s="316"/>
      <c r="J50" s="225">
        <f t="shared" si="53"/>
        <v>0</v>
      </c>
      <c r="K50" s="323"/>
      <c r="L50" s="316"/>
      <c r="M50" s="225">
        <f t="shared" si="54"/>
        <v>0</v>
      </c>
      <c r="N50" s="323"/>
      <c r="O50" s="316"/>
      <c r="P50" s="225">
        <f t="shared" si="55"/>
        <v>0</v>
      </c>
      <c r="Q50" s="323"/>
      <c r="R50" s="316"/>
      <c r="S50" s="225">
        <f t="shared" si="56"/>
        <v>0</v>
      </c>
      <c r="T50" s="323"/>
      <c r="U50" s="316"/>
      <c r="V50" s="225">
        <f t="shared" si="57"/>
        <v>0</v>
      </c>
      <c r="W50" s="323"/>
      <c r="X50" s="316"/>
      <c r="Y50" s="225">
        <f t="shared" si="58"/>
        <v>0</v>
      </c>
      <c r="Z50" s="323"/>
      <c r="AA50" s="316"/>
      <c r="AB50" s="225">
        <f t="shared" si="59"/>
        <v>0</v>
      </c>
      <c r="AC50" s="323"/>
      <c r="AD50" s="316"/>
      <c r="AE50" s="225">
        <f t="shared" si="60"/>
        <v>0</v>
      </c>
      <c r="AF50" s="323"/>
      <c r="AG50" s="316"/>
      <c r="AH50" s="225">
        <f t="shared" si="61"/>
        <v>0</v>
      </c>
      <c r="AI50" s="323"/>
      <c r="AJ50" s="316"/>
      <c r="AK50" s="225">
        <f t="shared" si="62"/>
        <v>0</v>
      </c>
    </row>
    <row r="51" spans="1:37">
      <c r="A51" s="15" t="s">
        <v>360</v>
      </c>
      <c r="B51" s="323"/>
      <c r="C51" s="316"/>
      <c r="D51" s="225">
        <f t="shared" ref="D51" si="64">C51*B51</f>
        <v>0</v>
      </c>
      <c r="E51" s="323"/>
      <c r="F51" s="316"/>
      <c r="G51" s="225">
        <f t="shared" si="52"/>
        <v>0</v>
      </c>
      <c r="H51" s="323"/>
      <c r="I51" s="316"/>
      <c r="J51" s="225">
        <f t="shared" si="53"/>
        <v>0</v>
      </c>
      <c r="K51" s="323"/>
      <c r="L51" s="316"/>
      <c r="M51" s="225">
        <f t="shared" si="54"/>
        <v>0</v>
      </c>
      <c r="N51" s="323">
        <v>2</v>
      </c>
      <c r="O51" s="316">
        <v>46</v>
      </c>
      <c r="P51" s="225">
        <f t="shared" si="55"/>
        <v>92</v>
      </c>
      <c r="Q51" s="323"/>
      <c r="R51" s="316"/>
      <c r="S51" s="225">
        <f t="shared" si="56"/>
        <v>0</v>
      </c>
      <c r="T51" s="323">
        <v>5</v>
      </c>
      <c r="U51" s="316">
        <v>35</v>
      </c>
      <c r="V51" s="225">
        <f t="shared" si="57"/>
        <v>175</v>
      </c>
      <c r="W51" s="323"/>
      <c r="X51" s="316"/>
      <c r="Y51" s="225">
        <f t="shared" si="58"/>
        <v>0</v>
      </c>
      <c r="Z51" s="323"/>
      <c r="AA51" s="316"/>
      <c r="AB51" s="225">
        <f t="shared" si="59"/>
        <v>0</v>
      </c>
      <c r="AC51" s="323"/>
      <c r="AD51" s="316"/>
      <c r="AE51" s="225">
        <f t="shared" si="60"/>
        <v>0</v>
      </c>
      <c r="AF51" s="323"/>
      <c r="AG51" s="316"/>
      <c r="AH51" s="225">
        <f t="shared" si="61"/>
        <v>0</v>
      </c>
      <c r="AI51" s="323"/>
      <c r="AJ51" s="316"/>
      <c r="AK51" s="225">
        <f t="shared" si="62"/>
        <v>0</v>
      </c>
    </row>
    <row r="52" spans="1:37" ht="15.75" thickBot="1">
      <c r="A52" s="358" t="s">
        <v>348</v>
      </c>
      <c r="B52" s="359"/>
      <c r="C52" s="360"/>
      <c r="D52" s="361">
        <f>SUM(D42:D51)</f>
        <v>825</v>
      </c>
      <c r="E52" s="359"/>
      <c r="F52" s="360"/>
      <c r="G52" s="361">
        <f>SUM(G42:G51)</f>
        <v>838</v>
      </c>
      <c r="H52" s="359"/>
      <c r="I52" s="360"/>
      <c r="J52" s="361">
        <f>SUM(J42:J51)</f>
        <v>744</v>
      </c>
      <c r="K52" s="359"/>
      <c r="L52" s="360"/>
      <c r="M52" s="361">
        <f>SUM(M42:M51)</f>
        <v>566</v>
      </c>
      <c r="N52" s="359"/>
      <c r="O52" s="360"/>
      <c r="P52" s="361">
        <f>SUM(P42:P51)</f>
        <v>758.98</v>
      </c>
      <c r="Q52" s="359"/>
      <c r="R52" s="360"/>
      <c r="S52" s="361">
        <f>SUM(S42:S51)</f>
        <v>961</v>
      </c>
      <c r="T52" s="359"/>
      <c r="U52" s="360"/>
      <c r="V52" s="361">
        <f>SUM(V42:V51)</f>
        <v>1493</v>
      </c>
      <c r="W52" s="359"/>
      <c r="X52" s="360"/>
      <c r="Y52" s="361">
        <f>SUM(Y42:Y51)</f>
        <v>0</v>
      </c>
      <c r="Z52" s="359"/>
      <c r="AA52" s="360"/>
      <c r="AB52" s="361">
        <f>SUM(AB42:AB51)</f>
        <v>0</v>
      </c>
      <c r="AC52" s="359"/>
      <c r="AD52" s="360"/>
      <c r="AE52" s="361">
        <f>SUM(AE42:AE51)</f>
        <v>0</v>
      </c>
      <c r="AF52" s="359"/>
      <c r="AG52" s="360"/>
      <c r="AH52" s="361">
        <f>SUM(AH42:AH51)</f>
        <v>0</v>
      </c>
      <c r="AI52" s="359"/>
      <c r="AJ52" s="360"/>
      <c r="AK52" s="361">
        <f>SUM(AK42:AK51)</f>
        <v>0</v>
      </c>
    </row>
    <row r="53" spans="1:37">
      <c r="A53" s="20" t="s">
        <v>69</v>
      </c>
      <c r="B53" s="21" t="s">
        <v>100</v>
      </c>
      <c r="C53" s="240" t="s">
        <v>101</v>
      </c>
      <c r="D53" s="230" t="s">
        <v>102</v>
      </c>
      <c r="E53" s="21" t="s">
        <v>100</v>
      </c>
      <c r="F53" s="240" t="s">
        <v>101</v>
      </c>
      <c r="G53" s="230" t="s">
        <v>102</v>
      </c>
      <c r="H53" s="21" t="s">
        <v>100</v>
      </c>
      <c r="I53" s="240" t="s">
        <v>101</v>
      </c>
      <c r="J53" s="230" t="s">
        <v>102</v>
      </c>
      <c r="K53" s="21" t="s">
        <v>100</v>
      </c>
      <c r="L53" s="240" t="s">
        <v>101</v>
      </c>
      <c r="M53" s="230" t="s">
        <v>102</v>
      </c>
      <c r="N53" s="21" t="s">
        <v>100</v>
      </c>
      <c r="O53" s="240" t="s">
        <v>101</v>
      </c>
      <c r="P53" s="230" t="s">
        <v>102</v>
      </c>
      <c r="Q53" s="21" t="s">
        <v>100</v>
      </c>
      <c r="R53" s="240" t="s">
        <v>101</v>
      </c>
      <c r="S53" s="230" t="s">
        <v>102</v>
      </c>
      <c r="T53" s="21" t="s">
        <v>100</v>
      </c>
      <c r="U53" s="240" t="s">
        <v>101</v>
      </c>
      <c r="V53" s="230" t="s">
        <v>102</v>
      </c>
      <c r="W53" s="21" t="s">
        <v>100</v>
      </c>
      <c r="X53" s="240" t="s">
        <v>101</v>
      </c>
      <c r="Y53" s="230" t="s">
        <v>102</v>
      </c>
      <c r="Z53" s="21" t="s">
        <v>100</v>
      </c>
      <c r="AA53" s="240" t="s">
        <v>101</v>
      </c>
      <c r="AB53" s="230" t="s">
        <v>102</v>
      </c>
      <c r="AC53" s="21" t="s">
        <v>100</v>
      </c>
      <c r="AD53" s="240" t="s">
        <v>101</v>
      </c>
      <c r="AE53" s="230" t="s">
        <v>102</v>
      </c>
      <c r="AF53" s="21" t="s">
        <v>100</v>
      </c>
      <c r="AG53" s="240" t="s">
        <v>101</v>
      </c>
      <c r="AH53" s="230" t="s">
        <v>102</v>
      </c>
      <c r="AI53" s="21" t="s">
        <v>100</v>
      </c>
      <c r="AJ53" s="240" t="s">
        <v>101</v>
      </c>
      <c r="AK53" s="230" t="s">
        <v>102</v>
      </c>
    </row>
    <row r="54" spans="1:37">
      <c r="A54" s="15" t="s">
        <v>71</v>
      </c>
      <c r="B54" s="323"/>
      <c r="C54" s="316"/>
      <c r="D54" s="225">
        <f>B54*C54</f>
        <v>0</v>
      </c>
      <c r="E54" s="323"/>
      <c r="F54" s="316"/>
      <c r="G54" s="225">
        <f t="shared" ref="G54:G59" si="65">E54*F54</f>
        <v>0</v>
      </c>
      <c r="H54" s="323"/>
      <c r="I54" s="316"/>
      <c r="J54" s="225">
        <f t="shared" ref="J54:J59" si="66">H54*I54</f>
        <v>0</v>
      </c>
      <c r="K54" s="323"/>
      <c r="L54" s="316"/>
      <c r="M54" s="225">
        <f t="shared" ref="M54:M59" si="67">K54*L54</f>
        <v>0</v>
      </c>
      <c r="N54" s="323"/>
      <c r="O54" s="316"/>
      <c r="P54" s="225">
        <f t="shared" ref="P54:P59" si="68">N54*O54</f>
        <v>0</v>
      </c>
      <c r="Q54" s="323"/>
      <c r="R54" s="316"/>
      <c r="S54" s="225">
        <f t="shared" ref="S54:S59" si="69">Q54*R54</f>
        <v>0</v>
      </c>
      <c r="T54" s="323">
        <v>1</v>
      </c>
      <c r="U54" s="316">
        <v>8</v>
      </c>
      <c r="V54" s="225">
        <f t="shared" ref="V54:V59" si="70">T54*U54</f>
        <v>8</v>
      </c>
      <c r="W54" s="323"/>
      <c r="X54" s="316"/>
      <c r="Y54" s="225">
        <f t="shared" ref="Y54:Y59" si="71">W54*X54</f>
        <v>0</v>
      </c>
      <c r="Z54" s="323"/>
      <c r="AA54" s="316"/>
      <c r="AB54" s="225">
        <f t="shared" ref="AB54:AB59" si="72">Z54*AA54</f>
        <v>0</v>
      </c>
      <c r="AC54" s="323"/>
      <c r="AD54" s="316"/>
      <c r="AE54" s="225">
        <f t="shared" ref="AE54:AE59" si="73">AC54*AD54</f>
        <v>0</v>
      </c>
      <c r="AF54" s="323"/>
      <c r="AG54" s="316"/>
      <c r="AH54" s="225">
        <f t="shared" ref="AH54:AH59" si="74">AF54*AG54</f>
        <v>0</v>
      </c>
      <c r="AI54" s="323"/>
      <c r="AJ54" s="316"/>
      <c r="AK54" s="225">
        <f t="shared" ref="AK54:AK59" si="75">AI54*AJ54</f>
        <v>0</v>
      </c>
    </row>
    <row r="55" spans="1:37">
      <c r="A55" s="15" t="s">
        <v>72</v>
      </c>
      <c r="B55" s="373"/>
      <c r="C55" s="340"/>
      <c r="D55" s="231">
        <f t="shared" ref="D55:D59" si="76">B55*C55</f>
        <v>0</v>
      </c>
      <c r="E55" s="373">
        <v>1</v>
      </c>
      <c r="F55" s="340">
        <v>35</v>
      </c>
      <c r="G55" s="231">
        <f t="shared" si="65"/>
        <v>35</v>
      </c>
      <c r="H55" s="373"/>
      <c r="I55" s="340"/>
      <c r="J55" s="231">
        <f t="shared" si="66"/>
        <v>0</v>
      </c>
      <c r="K55" s="373"/>
      <c r="L55" s="340"/>
      <c r="M55" s="231">
        <f t="shared" si="67"/>
        <v>0</v>
      </c>
      <c r="N55" s="373"/>
      <c r="O55" s="340"/>
      <c r="P55" s="231">
        <f t="shared" si="68"/>
        <v>0</v>
      </c>
      <c r="Q55" s="373"/>
      <c r="R55" s="340"/>
      <c r="S55" s="231">
        <f t="shared" si="69"/>
        <v>0</v>
      </c>
      <c r="T55" s="373"/>
      <c r="U55" s="340"/>
      <c r="V55" s="231">
        <f t="shared" si="70"/>
        <v>0</v>
      </c>
      <c r="W55" s="373"/>
      <c r="X55" s="340"/>
      <c r="Y55" s="231">
        <f t="shared" si="71"/>
        <v>0</v>
      </c>
      <c r="Z55" s="373"/>
      <c r="AA55" s="340"/>
      <c r="AB55" s="231">
        <f t="shared" si="72"/>
        <v>0</v>
      </c>
      <c r="AC55" s="373"/>
      <c r="AD55" s="340"/>
      <c r="AE55" s="231">
        <f t="shared" si="73"/>
        <v>0</v>
      </c>
      <c r="AF55" s="373"/>
      <c r="AG55" s="340"/>
      <c r="AH55" s="231">
        <f t="shared" si="74"/>
        <v>0</v>
      </c>
      <c r="AI55" s="373"/>
      <c r="AJ55" s="340"/>
      <c r="AK55" s="231">
        <f t="shared" si="75"/>
        <v>0</v>
      </c>
    </row>
    <row r="56" spans="1:37">
      <c r="A56" s="15" t="s">
        <v>73</v>
      </c>
      <c r="B56" s="323"/>
      <c r="C56" s="316"/>
      <c r="D56" s="225">
        <f t="shared" si="76"/>
        <v>0</v>
      </c>
      <c r="E56" s="323"/>
      <c r="F56" s="316"/>
      <c r="G56" s="225">
        <f t="shared" si="65"/>
        <v>0</v>
      </c>
      <c r="H56" s="323"/>
      <c r="I56" s="316"/>
      <c r="J56" s="225">
        <f t="shared" si="66"/>
        <v>0</v>
      </c>
      <c r="K56" s="323"/>
      <c r="L56" s="316"/>
      <c r="M56" s="225">
        <f t="shared" si="67"/>
        <v>0</v>
      </c>
      <c r="N56" s="323"/>
      <c r="O56" s="316"/>
      <c r="P56" s="225">
        <f t="shared" si="68"/>
        <v>0</v>
      </c>
      <c r="Q56" s="323"/>
      <c r="R56" s="316"/>
      <c r="S56" s="225">
        <f t="shared" si="69"/>
        <v>0</v>
      </c>
      <c r="T56" s="323"/>
      <c r="U56" s="316"/>
      <c r="V56" s="225">
        <f t="shared" si="70"/>
        <v>0</v>
      </c>
      <c r="W56" s="323"/>
      <c r="X56" s="316"/>
      <c r="Y56" s="225">
        <f t="shared" si="71"/>
        <v>0</v>
      </c>
      <c r="Z56" s="323"/>
      <c r="AA56" s="316"/>
      <c r="AB56" s="225">
        <f t="shared" si="72"/>
        <v>0</v>
      </c>
      <c r="AC56" s="323"/>
      <c r="AD56" s="316"/>
      <c r="AE56" s="225">
        <f t="shared" si="73"/>
        <v>0</v>
      </c>
      <c r="AF56" s="323"/>
      <c r="AG56" s="316"/>
      <c r="AH56" s="225">
        <f t="shared" si="74"/>
        <v>0</v>
      </c>
      <c r="AI56" s="323"/>
      <c r="AJ56" s="316"/>
      <c r="AK56" s="225">
        <f t="shared" si="75"/>
        <v>0</v>
      </c>
    </row>
    <row r="57" spans="1:37">
      <c r="A57" s="15" t="s">
        <v>74</v>
      </c>
      <c r="B57" s="323"/>
      <c r="C57" s="316"/>
      <c r="D57" s="225">
        <f t="shared" si="76"/>
        <v>0</v>
      </c>
      <c r="E57" s="323"/>
      <c r="F57" s="316"/>
      <c r="G57" s="225">
        <f t="shared" si="65"/>
        <v>0</v>
      </c>
      <c r="H57" s="323"/>
      <c r="I57" s="316"/>
      <c r="J57" s="225">
        <f t="shared" si="66"/>
        <v>0</v>
      </c>
      <c r="K57" s="323"/>
      <c r="L57" s="316"/>
      <c r="M57" s="225">
        <f t="shared" si="67"/>
        <v>0</v>
      </c>
      <c r="N57" s="323"/>
      <c r="O57" s="316"/>
      <c r="P57" s="225">
        <f t="shared" si="68"/>
        <v>0</v>
      </c>
      <c r="Q57" s="323"/>
      <c r="R57" s="316"/>
      <c r="S57" s="225">
        <f t="shared" si="69"/>
        <v>0</v>
      </c>
      <c r="T57" s="323"/>
      <c r="U57" s="316"/>
      <c r="V57" s="225">
        <f t="shared" si="70"/>
        <v>0</v>
      </c>
      <c r="W57" s="323"/>
      <c r="X57" s="316"/>
      <c r="Y57" s="225">
        <f t="shared" si="71"/>
        <v>0</v>
      </c>
      <c r="Z57" s="323"/>
      <c r="AA57" s="316"/>
      <c r="AB57" s="225">
        <f t="shared" si="72"/>
        <v>0</v>
      </c>
      <c r="AC57" s="323"/>
      <c r="AD57" s="316"/>
      <c r="AE57" s="225">
        <f t="shared" si="73"/>
        <v>0</v>
      </c>
      <c r="AF57" s="323"/>
      <c r="AG57" s="316"/>
      <c r="AH57" s="225">
        <f t="shared" si="74"/>
        <v>0</v>
      </c>
      <c r="AI57" s="323"/>
      <c r="AJ57" s="316"/>
      <c r="AK57" s="225">
        <f t="shared" si="75"/>
        <v>0</v>
      </c>
    </row>
    <row r="58" spans="1:37">
      <c r="A58" s="15" t="s">
        <v>75</v>
      </c>
      <c r="B58" s="323"/>
      <c r="C58" s="316"/>
      <c r="D58" s="225">
        <f t="shared" si="76"/>
        <v>0</v>
      </c>
      <c r="E58" s="323"/>
      <c r="F58" s="316"/>
      <c r="G58" s="225">
        <f t="shared" si="65"/>
        <v>0</v>
      </c>
      <c r="H58" s="323"/>
      <c r="I58" s="316"/>
      <c r="J58" s="225">
        <f t="shared" si="66"/>
        <v>0</v>
      </c>
      <c r="K58" s="323"/>
      <c r="L58" s="316"/>
      <c r="M58" s="225">
        <f t="shared" si="67"/>
        <v>0</v>
      </c>
      <c r="N58" s="323"/>
      <c r="O58" s="316"/>
      <c r="P58" s="225">
        <f t="shared" si="68"/>
        <v>0</v>
      </c>
      <c r="Q58" s="323"/>
      <c r="R58" s="316"/>
      <c r="S58" s="225">
        <f t="shared" si="69"/>
        <v>0</v>
      </c>
      <c r="T58" s="323"/>
      <c r="U58" s="316"/>
      <c r="V58" s="225">
        <f t="shared" si="70"/>
        <v>0</v>
      </c>
      <c r="W58" s="323"/>
      <c r="X58" s="316"/>
      <c r="Y58" s="225">
        <f t="shared" si="71"/>
        <v>0</v>
      </c>
      <c r="Z58" s="323"/>
      <c r="AA58" s="316"/>
      <c r="AB58" s="225">
        <f t="shared" si="72"/>
        <v>0</v>
      </c>
      <c r="AC58" s="323"/>
      <c r="AD58" s="316"/>
      <c r="AE58" s="225">
        <f t="shared" si="73"/>
        <v>0</v>
      </c>
      <c r="AF58" s="323"/>
      <c r="AG58" s="316"/>
      <c r="AH58" s="225">
        <f t="shared" si="74"/>
        <v>0</v>
      </c>
      <c r="AI58" s="323"/>
      <c r="AJ58" s="316"/>
      <c r="AK58" s="225">
        <f t="shared" si="75"/>
        <v>0</v>
      </c>
    </row>
    <row r="59" spans="1:37">
      <c r="A59" s="15" t="s">
        <v>76</v>
      </c>
      <c r="B59" s="323"/>
      <c r="C59" s="316"/>
      <c r="D59" s="225">
        <f t="shared" si="76"/>
        <v>0</v>
      </c>
      <c r="E59" s="323"/>
      <c r="F59" s="316"/>
      <c r="G59" s="225">
        <f t="shared" si="65"/>
        <v>0</v>
      </c>
      <c r="H59" s="323"/>
      <c r="I59" s="316"/>
      <c r="J59" s="225">
        <f t="shared" si="66"/>
        <v>0</v>
      </c>
      <c r="K59" s="323"/>
      <c r="L59" s="316"/>
      <c r="M59" s="225">
        <f t="shared" si="67"/>
        <v>0</v>
      </c>
      <c r="N59" s="323"/>
      <c r="O59" s="316"/>
      <c r="P59" s="225">
        <f t="shared" si="68"/>
        <v>0</v>
      </c>
      <c r="Q59" s="323"/>
      <c r="R59" s="316"/>
      <c r="S59" s="225">
        <f t="shared" si="69"/>
        <v>0</v>
      </c>
      <c r="T59" s="323"/>
      <c r="U59" s="316"/>
      <c r="V59" s="225">
        <f t="shared" si="70"/>
        <v>0</v>
      </c>
      <c r="W59" s="323"/>
      <c r="X59" s="316"/>
      <c r="Y59" s="225">
        <f t="shared" si="71"/>
        <v>0</v>
      </c>
      <c r="Z59" s="323"/>
      <c r="AA59" s="316"/>
      <c r="AB59" s="225">
        <f t="shared" si="72"/>
        <v>0</v>
      </c>
      <c r="AC59" s="323"/>
      <c r="AD59" s="316"/>
      <c r="AE59" s="225">
        <f t="shared" si="73"/>
        <v>0</v>
      </c>
      <c r="AF59" s="323"/>
      <c r="AG59" s="316"/>
      <c r="AH59" s="225">
        <f t="shared" si="74"/>
        <v>0</v>
      </c>
      <c r="AI59" s="323"/>
      <c r="AJ59" s="316"/>
      <c r="AK59" s="225">
        <f t="shared" si="75"/>
        <v>0</v>
      </c>
    </row>
    <row r="60" spans="1:37" ht="15.75" thickBot="1">
      <c r="A60" s="358" t="s">
        <v>348</v>
      </c>
      <c r="B60" s="359"/>
      <c r="C60" s="360"/>
      <c r="D60" s="361">
        <f>SUM(D54:D59)</f>
        <v>0</v>
      </c>
      <c r="E60" s="359"/>
      <c r="F60" s="360"/>
      <c r="G60" s="361">
        <f>SUM(G54:G59)</f>
        <v>35</v>
      </c>
      <c r="H60" s="359"/>
      <c r="I60" s="360"/>
      <c r="J60" s="361">
        <f>SUM(J54:J59)</f>
        <v>0</v>
      </c>
      <c r="K60" s="359"/>
      <c r="L60" s="360"/>
      <c r="M60" s="361">
        <f>SUM(M54:M59)</f>
        <v>0</v>
      </c>
      <c r="N60" s="359"/>
      <c r="O60" s="360"/>
      <c r="P60" s="361">
        <f>SUM(P54:P59)</f>
        <v>0</v>
      </c>
      <c r="Q60" s="359"/>
      <c r="R60" s="360"/>
      <c r="S60" s="361">
        <f>SUM(S54:S59)</f>
        <v>0</v>
      </c>
      <c r="T60" s="359"/>
      <c r="U60" s="360"/>
      <c r="V60" s="361">
        <f>SUM(V54:V59)</f>
        <v>8</v>
      </c>
      <c r="W60" s="359"/>
      <c r="X60" s="360"/>
      <c r="Y60" s="361">
        <f>SUM(Y54:Y59)</f>
        <v>0</v>
      </c>
      <c r="Z60" s="359"/>
      <c r="AA60" s="360"/>
      <c r="AB60" s="361">
        <f>SUM(AB54:AB59)</f>
        <v>0</v>
      </c>
      <c r="AC60" s="359"/>
      <c r="AD60" s="360"/>
      <c r="AE60" s="361">
        <f>SUM(AE54:AE59)</f>
        <v>0</v>
      </c>
      <c r="AF60" s="359"/>
      <c r="AG60" s="360"/>
      <c r="AH60" s="361">
        <f>SUM(AH54:AH59)</f>
        <v>0</v>
      </c>
      <c r="AI60" s="359"/>
      <c r="AJ60" s="360"/>
      <c r="AK60" s="361">
        <f>SUM(AK54:AK59)</f>
        <v>0</v>
      </c>
    </row>
    <row r="61" spans="1:37">
      <c r="A61" s="18" t="s">
        <v>70</v>
      </c>
      <c r="B61" s="19" t="s">
        <v>100</v>
      </c>
      <c r="C61" s="240" t="s">
        <v>101</v>
      </c>
      <c r="D61" s="230" t="s">
        <v>102</v>
      </c>
      <c r="E61" s="19" t="s">
        <v>100</v>
      </c>
      <c r="F61" s="240" t="s">
        <v>101</v>
      </c>
      <c r="G61" s="230" t="s">
        <v>102</v>
      </c>
      <c r="H61" s="19" t="s">
        <v>100</v>
      </c>
      <c r="I61" s="240" t="s">
        <v>101</v>
      </c>
      <c r="J61" s="230" t="s">
        <v>102</v>
      </c>
      <c r="K61" s="19" t="s">
        <v>100</v>
      </c>
      <c r="L61" s="240" t="s">
        <v>101</v>
      </c>
      <c r="M61" s="230" t="s">
        <v>102</v>
      </c>
      <c r="N61" s="19" t="s">
        <v>100</v>
      </c>
      <c r="O61" s="240" t="s">
        <v>101</v>
      </c>
      <c r="P61" s="230" t="s">
        <v>102</v>
      </c>
      <c r="Q61" s="19" t="s">
        <v>100</v>
      </c>
      <c r="R61" s="240" t="s">
        <v>101</v>
      </c>
      <c r="S61" s="230" t="s">
        <v>102</v>
      </c>
      <c r="T61" s="19" t="s">
        <v>100</v>
      </c>
      <c r="U61" s="240" t="s">
        <v>101</v>
      </c>
      <c r="V61" s="230" t="s">
        <v>102</v>
      </c>
      <c r="W61" s="19" t="s">
        <v>100</v>
      </c>
      <c r="X61" s="240" t="s">
        <v>101</v>
      </c>
      <c r="Y61" s="230" t="s">
        <v>102</v>
      </c>
      <c r="Z61" s="19" t="s">
        <v>100</v>
      </c>
      <c r="AA61" s="240" t="s">
        <v>101</v>
      </c>
      <c r="AB61" s="230" t="s">
        <v>102</v>
      </c>
      <c r="AC61" s="19" t="s">
        <v>100</v>
      </c>
      <c r="AD61" s="240" t="s">
        <v>101</v>
      </c>
      <c r="AE61" s="230" t="s">
        <v>102</v>
      </c>
      <c r="AF61" s="19" t="s">
        <v>100</v>
      </c>
      <c r="AG61" s="240" t="s">
        <v>101</v>
      </c>
      <c r="AH61" s="230" t="s">
        <v>102</v>
      </c>
      <c r="AI61" s="19" t="s">
        <v>100</v>
      </c>
      <c r="AJ61" s="240" t="s">
        <v>101</v>
      </c>
      <c r="AK61" s="230" t="s">
        <v>102</v>
      </c>
    </row>
    <row r="62" spans="1:37">
      <c r="A62" s="15" t="s">
        <v>77</v>
      </c>
      <c r="B62" s="323"/>
      <c r="C62" s="316"/>
      <c r="D62" s="225">
        <f>B62*C62</f>
        <v>0</v>
      </c>
      <c r="E62" s="323"/>
      <c r="F62" s="316"/>
      <c r="G62" s="225">
        <f t="shared" ref="G62:G73" si="77">E62*F62</f>
        <v>0</v>
      </c>
      <c r="H62" s="323"/>
      <c r="I62" s="316"/>
      <c r="J62" s="225">
        <f t="shared" ref="J62:J73" si="78">H62*I62</f>
        <v>0</v>
      </c>
      <c r="K62" s="323"/>
      <c r="L62" s="316"/>
      <c r="M62" s="225">
        <f t="shared" ref="M62:M73" si="79">K62*L62</f>
        <v>0</v>
      </c>
      <c r="N62" s="323"/>
      <c r="O62" s="316"/>
      <c r="P62" s="225">
        <f t="shared" ref="P62:P73" si="80">N62*O62</f>
        <v>0</v>
      </c>
      <c r="Q62" s="323"/>
      <c r="R62" s="316"/>
      <c r="S62" s="225">
        <f t="shared" ref="S62:S73" si="81">Q62*R62</f>
        <v>0</v>
      </c>
      <c r="T62" s="323"/>
      <c r="U62" s="316"/>
      <c r="V62" s="225">
        <f t="shared" ref="V62:V73" si="82">T62*U62</f>
        <v>0</v>
      </c>
      <c r="W62" s="323"/>
      <c r="X62" s="316"/>
      <c r="Y62" s="225">
        <f t="shared" ref="Y62:Y73" si="83">W62*X62</f>
        <v>0</v>
      </c>
      <c r="Z62" s="323"/>
      <c r="AA62" s="316"/>
      <c r="AB62" s="225">
        <f t="shared" ref="AB62:AB73" si="84">Z62*AA62</f>
        <v>0</v>
      </c>
      <c r="AC62" s="323"/>
      <c r="AD62" s="316"/>
      <c r="AE62" s="225">
        <f t="shared" ref="AE62:AE73" si="85">AC62*AD62</f>
        <v>0</v>
      </c>
      <c r="AF62" s="323"/>
      <c r="AG62" s="316"/>
      <c r="AH62" s="225">
        <f t="shared" ref="AH62:AH73" si="86">AF62*AG62</f>
        <v>0</v>
      </c>
      <c r="AI62" s="323"/>
      <c r="AJ62" s="316"/>
      <c r="AK62" s="225">
        <f t="shared" ref="AK62:AK73" si="87">AI62*AJ62</f>
        <v>0</v>
      </c>
    </row>
    <row r="63" spans="1:37">
      <c r="A63" s="15" t="s">
        <v>78</v>
      </c>
      <c r="B63" s="323"/>
      <c r="C63" s="316"/>
      <c r="D63" s="225">
        <f t="shared" ref="D63:D73" si="88">B63*C63</f>
        <v>0</v>
      </c>
      <c r="E63" s="323"/>
      <c r="F63" s="316"/>
      <c r="G63" s="225">
        <f t="shared" si="77"/>
        <v>0</v>
      </c>
      <c r="H63" s="323"/>
      <c r="I63" s="316"/>
      <c r="J63" s="225">
        <f t="shared" si="78"/>
        <v>0</v>
      </c>
      <c r="K63" s="323"/>
      <c r="L63" s="316"/>
      <c r="M63" s="225">
        <f t="shared" si="79"/>
        <v>0</v>
      </c>
      <c r="N63" s="323"/>
      <c r="O63" s="316"/>
      <c r="P63" s="225">
        <f t="shared" si="80"/>
        <v>0</v>
      </c>
      <c r="Q63" s="323"/>
      <c r="R63" s="316"/>
      <c r="S63" s="225">
        <f t="shared" si="81"/>
        <v>0</v>
      </c>
      <c r="T63" s="323"/>
      <c r="U63" s="316"/>
      <c r="V63" s="225">
        <f t="shared" si="82"/>
        <v>0</v>
      </c>
      <c r="W63" s="323"/>
      <c r="X63" s="316"/>
      <c r="Y63" s="225">
        <f t="shared" si="83"/>
        <v>0</v>
      </c>
      <c r="Z63" s="323"/>
      <c r="AA63" s="316"/>
      <c r="AB63" s="225">
        <f t="shared" si="84"/>
        <v>0</v>
      </c>
      <c r="AC63" s="323"/>
      <c r="AD63" s="316"/>
      <c r="AE63" s="225">
        <f t="shared" si="85"/>
        <v>0</v>
      </c>
      <c r="AF63" s="323"/>
      <c r="AG63" s="316"/>
      <c r="AH63" s="225">
        <f t="shared" si="86"/>
        <v>0</v>
      </c>
      <c r="AI63" s="323"/>
      <c r="AJ63" s="316"/>
      <c r="AK63" s="225">
        <f t="shared" si="87"/>
        <v>0</v>
      </c>
    </row>
    <row r="64" spans="1:37">
      <c r="A64" s="15" t="s">
        <v>270</v>
      </c>
      <c r="B64" s="323"/>
      <c r="C64" s="316"/>
      <c r="D64" s="225">
        <f t="shared" si="88"/>
        <v>0</v>
      </c>
      <c r="E64" s="323"/>
      <c r="F64" s="316"/>
      <c r="G64" s="225">
        <f t="shared" si="77"/>
        <v>0</v>
      </c>
      <c r="H64" s="323"/>
      <c r="I64" s="316"/>
      <c r="J64" s="225">
        <f t="shared" si="78"/>
        <v>0</v>
      </c>
      <c r="K64" s="323"/>
      <c r="L64" s="316"/>
      <c r="M64" s="225">
        <f t="shared" si="79"/>
        <v>0</v>
      </c>
      <c r="N64" s="323"/>
      <c r="O64" s="316"/>
      <c r="P64" s="225">
        <f t="shared" si="80"/>
        <v>0</v>
      </c>
      <c r="Q64" s="323"/>
      <c r="R64" s="316"/>
      <c r="S64" s="225">
        <f t="shared" si="81"/>
        <v>0</v>
      </c>
      <c r="T64" s="323"/>
      <c r="U64" s="316"/>
      <c r="V64" s="225">
        <f t="shared" si="82"/>
        <v>0</v>
      </c>
      <c r="W64" s="323"/>
      <c r="X64" s="316"/>
      <c r="Y64" s="225">
        <f t="shared" si="83"/>
        <v>0</v>
      </c>
      <c r="Z64" s="323"/>
      <c r="AA64" s="316"/>
      <c r="AB64" s="225">
        <f t="shared" si="84"/>
        <v>0</v>
      </c>
      <c r="AC64" s="323"/>
      <c r="AD64" s="316"/>
      <c r="AE64" s="225">
        <f t="shared" si="85"/>
        <v>0</v>
      </c>
      <c r="AF64" s="323"/>
      <c r="AG64" s="316"/>
      <c r="AH64" s="225">
        <f t="shared" si="86"/>
        <v>0</v>
      </c>
      <c r="AI64" s="323"/>
      <c r="AJ64" s="316"/>
      <c r="AK64" s="225">
        <f t="shared" si="87"/>
        <v>0</v>
      </c>
    </row>
    <row r="65" spans="1:37">
      <c r="A65" s="15" t="s">
        <v>79</v>
      </c>
      <c r="B65" s="323"/>
      <c r="C65" s="316"/>
      <c r="D65" s="225">
        <f t="shared" si="88"/>
        <v>0</v>
      </c>
      <c r="E65" s="323"/>
      <c r="F65" s="316"/>
      <c r="G65" s="225">
        <f t="shared" si="77"/>
        <v>0</v>
      </c>
      <c r="H65" s="323"/>
      <c r="I65" s="316"/>
      <c r="J65" s="225">
        <f t="shared" si="78"/>
        <v>0</v>
      </c>
      <c r="K65" s="323"/>
      <c r="L65" s="316"/>
      <c r="M65" s="225">
        <f t="shared" si="79"/>
        <v>0</v>
      </c>
      <c r="N65" s="323"/>
      <c r="O65" s="316"/>
      <c r="P65" s="225">
        <f t="shared" si="80"/>
        <v>0</v>
      </c>
      <c r="Q65" s="323"/>
      <c r="R65" s="316"/>
      <c r="S65" s="225">
        <f t="shared" si="81"/>
        <v>0</v>
      </c>
      <c r="T65" s="323"/>
      <c r="U65" s="316"/>
      <c r="V65" s="225">
        <f t="shared" si="82"/>
        <v>0</v>
      </c>
      <c r="W65" s="323"/>
      <c r="X65" s="316"/>
      <c r="Y65" s="225">
        <f t="shared" si="83"/>
        <v>0</v>
      </c>
      <c r="Z65" s="323"/>
      <c r="AA65" s="316"/>
      <c r="AB65" s="225">
        <f t="shared" si="84"/>
        <v>0</v>
      </c>
      <c r="AC65" s="323"/>
      <c r="AD65" s="316"/>
      <c r="AE65" s="225">
        <f t="shared" si="85"/>
        <v>0</v>
      </c>
      <c r="AF65" s="323"/>
      <c r="AG65" s="316"/>
      <c r="AH65" s="225">
        <f t="shared" si="86"/>
        <v>0</v>
      </c>
      <c r="AI65" s="323"/>
      <c r="AJ65" s="316"/>
      <c r="AK65" s="225">
        <f t="shared" si="87"/>
        <v>0</v>
      </c>
    </row>
    <row r="66" spans="1:37">
      <c r="A66" s="15" t="s">
        <v>80</v>
      </c>
      <c r="B66" s="323"/>
      <c r="C66" s="316"/>
      <c r="D66" s="225">
        <f t="shared" si="88"/>
        <v>0</v>
      </c>
      <c r="E66" s="323"/>
      <c r="F66" s="316"/>
      <c r="G66" s="225">
        <f t="shared" si="77"/>
        <v>0</v>
      </c>
      <c r="H66" s="323"/>
      <c r="I66" s="316"/>
      <c r="J66" s="225">
        <f t="shared" si="78"/>
        <v>0</v>
      </c>
      <c r="K66" s="323"/>
      <c r="L66" s="316"/>
      <c r="M66" s="225">
        <f t="shared" si="79"/>
        <v>0</v>
      </c>
      <c r="N66" s="323"/>
      <c r="O66" s="316"/>
      <c r="P66" s="225">
        <f t="shared" si="80"/>
        <v>0</v>
      </c>
      <c r="Q66" s="323"/>
      <c r="R66" s="316"/>
      <c r="S66" s="225">
        <f t="shared" si="81"/>
        <v>0</v>
      </c>
      <c r="T66" s="323"/>
      <c r="U66" s="316"/>
      <c r="V66" s="225">
        <f t="shared" si="82"/>
        <v>0</v>
      </c>
      <c r="W66" s="323"/>
      <c r="X66" s="316"/>
      <c r="Y66" s="225">
        <f t="shared" si="83"/>
        <v>0</v>
      </c>
      <c r="Z66" s="323"/>
      <c r="AA66" s="316"/>
      <c r="AB66" s="225">
        <f t="shared" si="84"/>
        <v>0</v>
      </c>
      <c r="AC66" s="323"/>
      <c r="AD66" s="316"/>
      <c r="AE66" s="225">
        <f t="shared" si="85"/>
        <v>0</v>
      </c>
      <c r="AF66" s="323"/>
      <c r="AG66" s="316"/>
      <c r="AH66" s="225">
        <f t="shared" si="86"/>
        <v>0</v>
      </c>
      <c r="AI66" s="323"/>
      <c r="AJ66" s="316"/>
      <c r="AK66" s="225">
        <f t="shared" si="87"/>
        <v>0</v>
      </c>
    </row>
    <row r="67" spans="1:37">
      <c r="A67" s="15" t="s">
        <v>81</v>
      </c>
      <c r="B67" s="324"/>
      <c r="C67" s="325"/>
      <c r="D67" s="225">
        <f t="shared" si="88"/>
        <v>0</v>
      </c>
      <c r="E67" s="324"/>
      <c r="F67" s="325"/>
      <c r="G67" s="225">
        <f t="shared" si="77"/>
        <v>0</v>
      </c>
      <c r="H67" s="324"/>
      <c r="I67" s="325"/>
      <c r="J67" s="225">
        <f t="shared" si="78"/>
        <v>0</v>
      </c>
      <c r="K67" s="324"/>
      <c r="L67" s="325"/>
      <c r="M67" s="225">
        <f t="shared" si="79"/>
        <v>0</v>
      </c>
      <c r="N67" s="324"/>
      <c r="O67" s="325"/>
      <c r="P67" s="225">
        <f t="shared" si="80"/>
        <v>0</v>
      </c>
      <c r="Q67" s="324"/>
      <c r="R67" s="325"/>
      <c r="S67" s="225">
        <f t="shared" si="81"/>
        <v>0</v>
      </c>
      <c r="T67" s="324"/>
      <c r="U67" s="325"/>
      <c r="V67" s="225">
        <f t="shared" si="82"/>
        <v>0</v>
      </c>
      <c r="W67" s="324"/>
      <c r="X67" s="325"/>
      <c r="Y67" s="225">
        <f t="shared" si="83"/>
        <v>0</v>
      </c>
      <c r="Z67" s="324"/>
      <c r="AA67" s="325"/>
      <c r="AB67" s="225">
        <f t="shared" si="84"/>
        <v>0</v>
      </c>
      <c r="AC67" s="324"/>
      <c r="AD67" s="325"/>
      <c r="AE67" s="225">
        <f t="shared" si="85"/>
        <v>0</v>
      </c>
      <c r="AF67" s="324"/>
      <c r="AG67" s="325"/>
      <c r="AH67" s="225">
        <f t="shared" si="86"/>
        <v>0</v>
      </c>
      <c r="AI67" s="324"/>
      <c r="AJ67" s="325"/>
      <c r="AK67" s="225">
        <f t="shared" si="87"/>
        <v>0</v>
      </c>
    </row>
    <row r="68" spans="1:37">
      <c r="A68" s="15" t="s">
        <v>82</v>
      </c>
      <c r="B68" s="323"/>
      <c r="C68" s="316"/>
      <c r="D68" s="225">
        <f t="shared" si="88"/>
        <v>0</v>
      </c>
      <c r="E68" s="323"/>
      <c r="F68" s="316"/>
      <c r="G68" s="225">
        <f t="shared" si="77"/>
        <v>0</v>
      </c>
      <c r="H68" s="323"/>
      <c r="I68" s="316"/>
      <c r="J68" s="225">
        <f t="shared" si="78"/>
        <v>0</v>
      </c>
      <c r="K68" s="323"/>
      <c r="L68" s="316"/>
      <c r="M68" s="225">
        <f t="shared" si="79"/>
        <v>0</v>
      </c>
      <c r="N68" s="323"/>
      <c r="O68" s="316"/>
      <c r="P68" s="225">
        <f t="shared" si="80"/>
        <v>0</v>
      </c>
      <c r="Q68" s="323"/>
      <c r="R68" s="316"/>
      <c r="S68" s="225">
        <f t="shared" si="81"/>
        <v>0</v>
      </c>
      <c r="T68" s="323"/>
      <c r="U68" s="316"/>
      <c r="V68" s="225">
        <f t="shared" si="82"/>
        <v>0</v>
      </c>
      <c r="W68" s="323"/>
      <c r="X68" s="316"/>
      <c r="Y68" s="225">
        <f t="shared" si="83"/>
        <v>0</v>
      </c>
      <c r="Z68" s="323"/>
      <c r="AA68" s="316"/>
      <c r="AB68" s="225">
        <f t="shared" si="84"/>
        <v>0</v>
      </c>
      <c r="AC68" s="323"/>
      <c r="AD68" s="316"/>
      <c r="AE68" s="225">
        <f t="shared" si="85"/>
        <v>0</v>
      </c>
      <c r="AF68" s="323"/>
      <c r="AG68" s="316"/>
      <c r="AH68" s="225">
        <f t="shared" si="86"/>
        <v>0</v>
      </c>
      <c r="AI68" s="323"/>
      <c r="AJ68" s="316"/>
      <c r="AK68" s="225">
        <f t="shared" si="87"/>
        <v>0</v>
      </c>
    </row>
    <row r="69" spans="1:37">
      <c r="A69" s="15" t="s">
        <v>361</v>
      </c>
      <c r="B69" s="323"/>
      <c r="C69" s="316"/>
      <c r="D69" s="225">
        <f t="shared" si="88"/>
        <v>0</v>
      </c>
      <c r="E69" s="323"/>
      <c r="F69" s="316"/>
      <c r="G69" s="225">
        <f t="shared" si="77"/>
        <v>0</v>
      </c>
      <c r="H69" s="323"/>
      <c r="I69" s="316"/>
      <c r="J69" s="225">
        <f t="shared" si="78"/>
        <v>0</v>
      </c>
      <c r="K69" s="323"/>
      <c r="L69" s="316"/>
      <c r="M69" s="225">
        <f t="shared" si="79"/>
        <v>0</v>
      </c>
      <c r="N69" s="323"/>
      <c r="O69" s="316"/>
      <c r="P69" s="225">
        <f t="shared" si="80"/>
        <v>0</v>
      </c>
      <c r="Q69" s="323"/>
      <c r="R69" s="316"/>
      <c r="S69" s="225">
        <f t="shared" si="81"/>
        <v>0</v>
      </c>
      <c r="T69" s="323"/>
      <c r="U69" s="316"/>
      <c r="V69" s="225">
        <f t="shared" si="82"/>
        <v>0</v>
      </c>
      <c r="W69" s="323"/>
      <c r="X69" s="316"/>
      <c r="Y69" s="225">
        <f t="shared" si="83"/>
        <v>0</v>
      </c>
      <c r="Z69" s="323"/>
      <c r="AA69" s="316"/>
      <c r="AB69" s="225">
        <f t="shared" si="84"/>
        <v>0</v>
      </c>
      <c r="AC69" s="323"/>
      <c r="AD69" s="316"/>
      <c r="AE69" s="225">
        <f t="shared" si="85"/>
        <v>0</v>
      </c>
      <c r="AF69" s="323"/>
      <c r="AG69" s="316"/>
      <c r="AH69" s="225">
        <f t="shared" si="86"/>
        <v>0</v>
      </c>
      <c r="AI69" s="323"/>
      <c r="AJ69" s="316"/>
      <c r="AK69" s="225">
        <f t="shared" si="87"/>
        <v>0</v>
      </c>
    </row>
    <row r="70" spans="1:37">
      <c r="A70" s="15" t="s">
        <v>83</v>
      </c>
      <c r="B70" s="323"/>
      <c r="C70" s="316"/>
      <c r="D70" s="225">
        <f t="shared" si="88"/>
        <v>0</v>
      </c>
      <c r="E70" s="323"/>
      <c r="F70" s="316"/>
      <c r="G70" s="225">
        <f t="shared" si="77"/>
        <v>0</v>
      </c>
      <c r="H70" s="323"/>
      <c r="I70" s="316"/>
      <c r="J70" s="225">
        <f t="shared" si="78"/>
        <v>0</v>
      </c>
      <c r="K70" s="323">
        <v>1</v>
      </c>
      <c r="L70" s="316">
        <v>18</v>
      </c>
      <c r="M70" s="225">
        <f t="shared" si="79"/>
        <v>18</v>
      </c>
      <c r="N70" s="323"/>
      <c r="O70" s="316"/>
      <c r="P70" s="225">
        <f t="shared" si="80"/>
        <v>0</v>
      </c>
      <c r="Q70" s="323">
        <v>1</v>
      </c>
      <c r="R70" s="316">
        <v>10</v>
      </c>
      <c r="S70" s="225">
        <f t="shared" si="81"/>
        <v>10</v>
      </c>
      <c r="T70" s="323"/>
      <c r="U70" s="316"/>
      <c r="V70" s="225">
        <f t="shared" si="82"/>
        <v>0</v>
      </c>
      <c r="W70" s="323"/>
      <c r="X70" s="316"/>
      <c r="Y70" s="225">
        <f t="shared" si="83"/>
        <v>0</v>
      </c>
      <c r="Z70" s="323"/>
      <c r="AA70" s="316"/>
      <c r="AB70" s="225">
        <f t="shared" si="84"/>
        <v>0</v>
      </c>
      <c r="AC70" s="323"/>
      <c r="AD70" s="316"/>
      <c r="AE70" s="225">
        <f t="shared" si="85"/>
        <v>0</v>
      </c>
      <c r="AF70" s="323"/>
      <c r="AG70" s="316"/>
      <c r="AH70" s="225">
        <f t="shared" si="86"/>
        <v>0</v>
      </c>
      <c r="AI70" s="323"/>
      <c r="AJ70" s="316"/>
      <c r="AK70" s="225">
        <f t="shared" si="87"/>
        <v>0</v>
      </c>
    </row>
    <row r="71" spans="1:37">
      <c r="A71" s="15" t="s">
        <v>84</v>
      </c>
      <c r="B71" s="323"/>
      <c r="C71" s="316"/>
      <c r="D71" s="225">
        <f t="shared" si="88"/>
        <v>0</v>
      </c>
      <c r="E71" s="323"/>
      <c r="F71" s="316"/>
      <c r="G71" s="225">
        <f t="shared" si="77"/>
        <v>0</v>
      </c>
      <c r="H71" s="323"/>
      <c r="I71" s="316"/>
      <c r="J71" s="225">
        <f t="shared" si="78"/>
        <v>0</v>
      </c>
      <c r="K71" s="323"/>
      <c r="L71" s="316"/>
      <c r="M71" s="225">
        <f t="shared" si="79"/>
        <v>0</v>
      </c>
      <c r="N71" s="323"/>
      <c r="O71" s="316"/>
      <c r="P71" s="225">
        <f t="shared" si="80"/>
        <v>0</v>
      </c>
      <c r="Q71" s="323"/>
      <c r="R71" s="316"/>
      <c r="S71" s="225">
        <f t="shared" si="81"/>
        <v>0</v>
      </c>
      <c r="T71" s="323"/>
      <c r="U71" s="316"/>
      <c r="V71" s="225">
        <f t="shared" si="82"/>
        <v>0</v>
      </c>
      <c r="W71" s="323"/>
      <c r="X71" s="316"/>
      <c r="Y71" s="225">
        <f t="shared" si="83"/>
        <v>0</v>
      </c>
      <c r="Z71" s="323"/>
      <c r="AA71" s="316"/>
      <c r="AB71" s="225">
        <f t="shared" si="84"/>
        <v>0</v>
      </c>
      <c r="AC71" s="323"/>
      <c r="AD71" s="316"/>
      <c r="AE71" s="225">
        <f t="shared" si="85"/>
        <v>0</v>
      </c>
      <c r="AF71" s="323"/>
      <c r="AG71" s="316"/>
      <c r="AH71" s="225">
        <f t="shared" si="86"/>
        <v>0</v>
      </c>
      <c r="AI71" s="323"/>
      <c r="AJ71" s="316"/>
      <c r="AK71" s="225">
        <f t="shared" si="87"/>
        <v>0</v>
      </c>
    </row>
    <row r="72" spans="1:37">
      <c r="A72" s="15" t="s">
        <v>362</v>
      </c>
      <c r="B72" s="323"/>
      <c r="C72" s="316"/>
      <c r="D72" s="225">
        <f t="shared" si="88"/>
        <v>0</v>
      </c>
      <c r="E72" s="323"/>
      <c r="F72" s="316"/>
      <c r="G72" s="225">
        <f t="shared" si="77"/>
        <v>0</v>
      </c>
      <c r="H72" s="323"/>
      <c r="I72" s="316"/>
      <c r="J72" s="225">
        <f t="shared" si="78"/>
        <v>0</v>
      </c>
      <c r="K72" s="323"/>
      <c r="L72" s="316"/>
      <c r="M72" s="225">
        <f t="shared" si="79"/>
        <v>0</v>
      </c>
      <c r="N72" s="323"/>
      <c r="O72" s="316"/>
      <c r="P72" s="225">
        <f t="shared" si="80"/>
        <v>0</v>
      </c>
      <c r="Q72" s="323"/>
      <c r="R72" s="316"/>
      <c r="S72" s="225">
        <f t="shared" si="81"/>
        <v>0</v>
      </c>
      <c r="T72" s="323"/>
      <c r="U72" s="316"/>
      <c r="V72" s="225">
        <f t="shared" si="82"/>
        <v>0</v>
      </c>
      <c r="W72" s="323"/>
      <c r="X72" s="316"/>
      <c r="Y72" s="225">
        <f t="shared" si="83"/>
        <v>0</v>
      </c>
      <c r="Z72" s="323"/>
      <c r="AA72" s="316"/>
      <c r="AB72" s="225">
        <f t="shared" si="84"/>
        <v>0</v>
      </c>
      <c r="AC72" s="323"/>
      <c r="AD72" s="316"/>
      <c r="AE72" s="225">
        <f t="shared" si="85"/>
        <v>0</v>
      </c>
      <c r="AF72" s="323"/>
      <c r="AG72" s="316"/>
      <c r="AH72" s="225">
        <f t="shared" si="86"/>
        <v>0</v>
      </c>
      <c r="AI72" s="323"/>
      <c r="AJ72" s="316"/>
      <c r="AK72" s="225">
        <f t="shared" si="87"/>
        <v>0</v>
      </c>
    </row>
    <row r="73" spans="1:37">
      <c r="A73" s="15" t="s">
        <v>271</v>
      </c>
      <c r="B73" s="323"/>
      <c r="C73" s="316"/>
      <c r="D73" s="225">
        <f t="shared" si="88"/>
        <v>0</v>
      </c>
      <c r="E73" s="323"/>
      <c r="F73" s="316"/>
      <c r="G73" s="225">
        <f t="shared" si="77"/>
        <v>0</v>
      </c>
      <c r="H73" s="323"/>
      <c r="I73" s="316"/>
      <c r="J73" s="225">
        <f t="shared" si="78"/>
        <v>0</v>
      </c>
      <c r="K73" s="323">
        <v>1</v>
      </c>
      <c r="L73" s="316">
        <v>42</v>
      </c>
      <c r="M73" s="225">
        <f t="shared" si="79"/>
        <v>42</v>
      </c>
      <c r="N73" s="323"/>
      <c r="O73" s="316"/>
      <c r="P73" s="225">
        <f t="shared" si="80"/>
        <v>0</v>
      </c>
      <c r="Q73" s="323"/>
      <c r="R73" s="316"/>
      <c r="S73" s="225">
        <f t="shared" si="81"/>
        <v>0</v>
      </c>
      <c r="T73" s="323"/>
      <c r="U73" s="316"/>
      <c r="V73" s="225">
        <f t="shared" si="82"/>
        <v>0</v>
      </c>
      <c r="W73" s="323"/>
      <c r="X73" s="316"/>
      <c r="Y73" s="225">
        <f t="shared" si="83"/>
        <v>0</v>
      </c>
      <c r="Z73" s="323"/>
      <c r="AA73" s="316"/>
      <c r="AB73" s="225">
        <f t="shared" si="84"/>
        <v>0</v>
      </c>
      <c r="AC73" s="323"/>
      <c r="AD73" s="316"/>
      <c r="AE73" s="225">
        <f t="shared" si="85"/>
        <v>0</v>
      </c>
      <c r="AF73" s="323"/>
      <c r="AG73" s="316"/>
      <c r="AH73" s="225">
        <f t="shared" si="86"/>
        <v>0</v>
      </c>
      <c r="AI73" s="323"/>
      <c r="AJ73" s="316"/>
      <c r="AK73" s="225">
        <f t="shared" si="87"/>
        <v>0</v>
      </c>
    </row>
    <row r="74" spans="1:37" ht="15.75" thickBot="1">
      <c r="A74" s="358" t="s">
        <v>348</v>
      </c>
      <c r="B74" s="359"/>
      <c r="C74" s="360"/>
      <c r="D74" s="361">
        <f>SUM(D62:D73)</f>
        <v>0</v>
      </c>
      <c r="E74" s="359"/>
      <c r="F74" s="360"/>
      <c r="G74" s="361">
        <f>SUM(G62:G73)</f>
        <v>0</v>
      </c>
      <c r="H74" s="359"/>
      <c r="I74" s="360"/>
      <c r="J74" s="361">
        <f>SUM(J62:J73)</f>
        <v>0</v>
      </c>
      <c r="K74" s="359"/>
      <c r="L74" s="360"/>
      <c r="M74" s="361">
        <f>SUM(M62:M73)</f>
        <v>60</v>
      </c>
      <c r="N74" s="359"/>
      <c r="O74" s="360"/>
      <c r="P74" s="361">
        <f>SUM(P62:P73)</f>
        <v>0</v>
      </c>
      <c r="Q74" s="359"/>
      <c r="R74" s="360"/>
      <c r="S74" s="361">
        <f>SUM(S62:S73)</f>
        <v>10</v>
      </c>
      <c r="T74" s="359"/>
      <c r="U74" s="360"/>
      <c r="V74" s="361">
        <f>SUM(V62:V73)</f>
        <v>0</v>
      </c>
      <c r="W74" s="359"/>
      <c r="X74" s="360"/>
      <c r="Y74" s="361">
        <f>SUM(Y62:Y73)</f>
        <v>0</v>
      </c>
      <c r="Z74" s="359"/>
      <c r="AA74" s="360"/>
      <c r="AB74" s="361">
        <f>SUM(AB62:AB73)</f>
        <v>0</v>
      </c>
      <c r="AC74" s="359"/>
      <c r="AD74" s="360"/>
      <c r="AE74" s="361">
        <f>SUM(AE62:AE73)</f>
        <v>0</v>
      </c>
      <c r="AF74" s="359"/>
      <c r="AG74" s="360"/>
      <c r="AH74" s="361">
        <f>SUM(AH62:AH73)</f>
        <v>0</v>
      </c>
      <c r="AI74" s="359"/>
      <c r="AJ74" s="360"/>
      <c r="AK74" s="361">
        <f>SUM(AK62:AK73)</f>
        <v>0</v>
      </c>
    </row>
    <row r="75" spans="1:37">
      <c r="A75" s="18" t="s">
        <v>85</v>
      </c>
      <c r="B75" s="19" t="s">
        <v>100</v>
      </c>
      <c r="C75" s="240" t="s">
        <v>101</v>
      </c>
      <c r="D75" s="230" t="s">
        <v>102</v>
      </c>
      <c r="E75" s="19" t="s">
        <v>100</v>
      </c>
      <c r="F75" s="240" t="s">
        <v>101</v>
      </c>
      <c r="G75" s="230" t="s">
        <v>102</v>
      </c>
      <c r="H75" s="19" t="s">
        <v>100</v>
      </c>
      <c r="I75" s="240" t="s">
        <v>101</v>
      </c>
      <c r="J75" s="230" t="s">
        <v>102</v>
      </c>
      <c r="K75" s="19" t="s">
        <v>100</v>
      </c>
      <c r="L75" s="240" t="s">
        <v>101</v>
      </c>
      <c r="M75" s="230" t="s">
        <v>102</v>
      </c>
      <c r="N75" s="19" t="s">
        <v>100</v>
      </c>
      <c r="O75" s="240" t="s">
        <v>101</v>
      </c>
      <c r="P75" s="230" t="s">
        <v>102</v>
      </c>
      <c r="Q75" s="19" t="s">
        <v>100</v>
      </c>
      <c r="R75" s="240" t="s">
        <v>101</v>
      </c>
      <c r="S75" s="230" t="s">
        <v>102</v>
      </c>
      <c r="T75" s="19" t="s">
        <v>100</v>
      </c>
      <c r="U75" s="240" t="s">
        <v>101</v>
      </c>
      <c r="V75" s="230" t="s">
        <v>102</v>
      </c>
      <c r="W75" s="19" t="s">
        <v>100</v>
      </c>
      <c r="X75" s="240" t="s">
        <v>101</v>
      </c>
      <c r="Y75" s="230" t="s">
        <v>102</v>
      </c>
      <c r="Z75" s="19" t="s">
        <v>100</v>
      </c>
      <c r="AA75" s="240" t="s">
        <v>101</v>
      </c>
      <c r="AB75" s="230" t="s">
        <v>102</v>
      </c>
      <c r="AC75" s="19" t="s">
        <v>100</v>
      </c>
      <c r="AD75" s="240" t="s">
        <v>101</v>
      </c>
      <c r="AE75" s="230" t="s">
        <v>102</v>
      </c>
      <c r="AF75" s="19" t="s">
        <v>100</v>
      </c>
      <c r="AG75" s="240" t="s">
        <v>101</v>
      </c>
      <c r="AH75" s="230" t="s">
        <v>102</v>
      </c>
      <c r="AI75" s="19" t="s">
        <v>100</v>
      </c>
      <c r="AJ75" s="240" t="s">
        <v>101</v>
      </c>
      <c r="AK75" s="230" t="s">
        <v>102</v>
      </c>
    </row>
    <row r="76" spans="1:37">
      <c r="A76" s="4" t="s">
        <v>86</v>
      </c>
      <c r="B76" s="323"/>
      <c r="C76" s="316"/>
      <c r="D76" s="225">
        <f>B76*C76</f>
        <v>0</v>
      </c>
      <c r="E76" s="323"/>
      <c r="F76" s="316"/>
      <c r="G76" s="225">
        <f t="shared" ref="G76:G79" si="89">E76*F76</f>
        <v>0</v>
      </c>
      <c r="H76" s="323">
        <v>1</v>
      </c>
      <c r="I76" s="316">
        <v>2</v>
      </c>
      <c r="J76" s="225">
        <f t="shared" ref="J76:J79" si="90">H76*I76</f>
        <v>2</v>
      </c>
      <c r="K76" s="323">
        <v>1</v>
      </c>
      <c r="L76" s="316">
        <v>2</v>
      </c>
      <c r="M76" s="225">
        <f t="shared" ref="M76:M79" si="91">K76*L76</f>
        <v>2</v>
      </c>
      <c r="N76" s="323">
        <v>1</v>
      </c>
      <c r="O76" s="316">
        <v>2</v>
      </c>
      <c r="P76" s="225">
        <f t="shared" ref="P76:P79" si="92">N76*O76</f>
        <v>2</v>
      </c>
      <c r="Q76" s="323">
        <v>1</v>
      </c>
      <c r="R76" s="316">
        <v>2</v>
      </c>
      <c r="S76" s="225">
        <f t="shared" ref="S76:S79" si="93">Q76*R76</f>
        <v>2</v>
      </c>
      <c r="T76" s="323">
        <v>1</v>
      </c>
      <c r="U76" s="316">
        <v>3</v>
      </c>
      <c r="V76" s="225">
        <f t="shared" ref="V76:V79" si="94">T76*U76</f>
        <v>3</v>
      </c>
      <c r="W76" s="323"/>
      <c r="X76" s="316"/>
      <c r="Y76" s="225">
        <f t="shared" ref="Y76:Y79" si="95">W76*X76</f>
        <v>0</v>
      </c>
      <c r="Z76" s="323"/>
      <c r="AA76" s="316"/>
      <c r="AB76" s="225">
        <f t="shared" ref="AB76:AB79" si="96">Z76*AA76</f>
        <v>0</v>
      </c>
      <c r="AC76" s="323"/>
      <c r="AD76" s="316"/>
      <c r="AE76" s="225">
        <f t="shared" ref="AE76:AE79" si="97">AC76*AD76</f>
        <v>0</v>
      </c>
      <c r="AF76" s="323"/>
      <c r="AG76" s="316"/>
      <c r="AH76" s="225">
        <f t="shared" ref="AH76:AH79" si="98">AF76*AG76</f>
        <v>0</v>
      </c>
      <c r="AI76" s="323"/>
      <c r="AJ76" s="316"/>
      <c r="AK76" s="225">
        <f t="shared" ref="AK76:AK79" si="99">AI76*AJ76</f>
        <v>0</v>
      </c>
    </row>
    <row r="77" spans="1:37">
      <c r="A77" s="4" t="s">
        <v>87</v>
      </c>
      <c r="B77" s="323"/>
      <c r="C77" s="316"/>
      <c r="D77" s="225">
        <f t="shared" ref="D77:D79" si="100">B77*C77</f>
        <v>0</v>
      </c>
      <c r="E77" s="323"/>
      <c r="F77" s="316"/>
      <c r="G77" s="225">
        <f t="shared" si="89"/>
        <v>0</v>
      </c>
      <c r="H77" s="323"/>
      <c r="I77" s="316"/>
      <c r="J77" s="225">
        <f t="shared" si="90"/>
        <v>0</v>
      </c>
      <c r="K77" s="323"/>
      <c r="L77" s="316"/>
      <c r="M77" s="225">
        <f t="shared" si="91"/>
        <v>0</v>
      </c>
      <c r="N77" s="323"/>
      <c r="O77" s="316"/>
      <c r="P77" s="225">
        <f t="shared" si="92"/>
        <v>0</v>
      </c>
      <c r="Q77" s="323"/>
      <c r="R77" s="316"/>
      <c r="S77" s="225">
        <f t="shared" si="93"/>
        <v>0</v>
      </c>
      <c r="T77" s="323"/>
      <c r="U77" s="316"/>
      <c r="V77" s="225">
        <f t="shared" si="94"/>
        <v>0</v>
      </c>
      <c r="W77" s="323"/>
      <c r="X77" s="316"/>
      <c r="Y77" s="225">
        <f t="shared" si="95"/>
        <v>0</v>
      </c>
      <c r="Z77" s="323"/>
      <c r="AA77" s="316"/>
      <c r="AB77" s="225">
        <f t="shared" si="96"/>
        <v>0</v>
      </c>
      <c r="AC77" s="323"/>
      <c r="AD77" s="316"/>
      <c r="AE77" s="225">
        <f t="shared" si="97"/>
        <v>0</v>
      </c>
      <c r="AF77" s="323"/>
      <c r="AG77" s="316"/>
      <c r="AH77" s="225">
        <f t="shared" si="98"/>
        <v>0</v>
      </c>
      <c r="AI77" s="323"/>
      <c r="AJ77" s="316"/>
      <c r="AK77" s="225">
        <f t="shared" si="99"/>
        <v>0</v>
      </c>
    </row>
    <row r="78" spans="1:37">
      <c r="A78" s="4" t="s">
        <v>88</v>
      </c>
      <c r="B78" s="323"/>
      <c r="C78" s="316"/>
      <c r="D78" s="225">
        <f t="shared" si="100"/>
        <v>0</v>
      </c>
      <c r="E78" s="323"/>
      <c r="F78" s="316"/>
      <c r="G78" s="225">
        <f t="shared" si="89"/>
        <v>0</v>
      </c>
      <c r="H78" s="323"/>
      <c r="I78" s="316"/>
      <c r="J78" s="225">
        <f t="shared" si="90"/>
        <v>0</v>
      </c>
      <c r="K78" s="323"/>
      <c r="L78" s="316"/>
      <c r="M78" s="225">
        <f t="shared" si="91"/>
        <v>0</v>
      </c>
      <c r="N78" s="323"/>
      <c r="O78" s="316"/>
      <c r="P78" s="225">
        <f t="shared" si="92"/>
        <v>0</v>
      </c>
      <c r="Q78" s="323"/>
      <c r="R78" s="316"/>
      <c r="S78" s="225">
        <f t="shared" si="93"/>
        <v>0</v>
      </c>
      <c r="T78" s="323"/>
      <c r="U78" s="316"/>
      <c r="V78" s="225">
        <f t="shared" si="94"/>
        <v>0</v>
      </c>
      <c r="W78" s="323"/>
      <c r="X78" s="316"/>
      <c r="Y78" s="225">
        <f t="shared" si="95"/>
        <v>0</v>
      </c>
      <c r="Z78" s="323"/>
      <c r="AA78" s="316"/>
      <c r="AB78" s="225">
        <f t="shared" si="96"/>
        <v>0</v>
      </c>
      <c r="AC78" s="323"/>
      <c r="AD78" s="316"/>
      <c r="AE78" s="225">
        <f t="shared" si="97"/>
        <v>0</v>
      </c>
      <c r="AF78" s="323"/>
      <c r="AG78" s="316"/>
      <c r="AH78" s="225">
        <f t="shared" si="98"/>
        <v>0</v>
      </c>
      <c r="AI78" s="323"/>
      <c r="AJ78" s="316"/>
      <c r="AK78" s="225">
        <f t="shared" si="99"/>
        <v>0</v>
      </c>
    </row>
    <row r="79" spans="1:37">
      <c r="A79" s="4" t="s">
        <v>89</v>
      </c>
      <c r="B79" s="323">
        <v>1</v>
      </c>
      <c r="C79" s="316">
        <v>15</v>
      </c>
      <c r="D79" s="225">
        <f t="shared" si="100"/>
        <v>15</v>
      </c>
      <c r="E79" s="323">
        <v>1</v>
      </c>
      <c r="F79" s="316">
        <v>15.5</v>
      </c>
      <c r="G79" s="225">
        <f t="shared" si="89"/>
        <v>15.5</v>
      </c>
      <c r="H79" s="323"/>
      <c r="I79" s="316"/>
      <c r="J79" s="225">
        <f t="shared" si="90"/>
        <v>0</v>
      </c>
      <c r="K79" s="323"/>
      <c r="L79" s="316"/>
      <c r="M79" s="225">
        <f t="shared" si="91"/>
        <v>0</v>
      </c>
      <c r="N79" s="323"/>
      <c r="O79" s="316"/>
      <c r="P79" s="225">
        <f t="shared" si="92"/>
        <v>0</v>
      </c>
      <c r="Q79" s="323"/>
      <c r="R79" s="316"/>
      <c r="S79" s="225">
        <f t="shared" si="93"/>
        <v>0</v>
      </c>
      <c r="T79" s="323"/>
      <c r="U79" s="316"/>
      <c r="V79" s="225">
        <f t="shared" si="94"/>
        <v>0</v>
      </c>
      <c r="W79" s="323"/>
      <c r="X79" s="316"/>
      <c r="Y79" s="225">
        <f t="shared" si="95"/>
        <v>0</v>
      </c>
      <c r="Z79" s="323"/>
      <c r="AA79" s="316"/>
      <c r="AB79" s="225">
        <f t="shared" si="96"/>
        <v>0</v>
      </c>
      <c r="AC79" s="323"/>
      <c r="AD79" s="316"/>
      <c r="AE79" s="225">
        <f t="shared" si="97"/>
        <v>0</v>
      </c>
      <c r="AF79" s="323"/>
      <c r="AG79" s="316"/>
      <c r="AH79" s="225">
        <f t="shared" si="98"/>
        <v>0</v>
      </c>
      <c r="AI79" s="323"/>
      <c r="AJ79" s="316"/>
      <c r="AK79" s="225">
        <f t="shared" si="99"/>
        <v>0</v>
      </c>
    </row>
    <row r="80" spans="1:37" ht="15.75" thickBot="1">
      <c r="A80" s="358" t="s">
        <v>348</v>
      </c>
      <c r="B80" s="359"/>
      <c r="C80" s="360"/>
      <c r="D80" s="361">
        <f>SUM(D76:D79)</f>
        <v>15</v>
      </c>
      <c r="E80" s="359"/>
      <c r="F80" s="360"/>
      <c r="G80" s="361">
        <f>SUM(G76:G79)</f>
        <v>15.5</v>
      </c>
      <c r="H80" s="359"/>
      <c r="I80" s="360"/>
      <c r="J80" s="361">
        <f>SUM(J76:J79)</f>
        <v>2</v>
      </c>
      <c r="K80" s="359"/>
      <c r="L80" s="360"/>
      <c r="M80" s="361">
        <f>SUM(M76:M79)</f>
        <v>2</v>
      </c>
      <c r="N80" s="359"/>
      <c r="O80" s="360"/>
      <c r="P80" s="361">
        <f>SUM(P76:P79)</f>
        <v>2</v>
      </c>
      <c r="Q80" s="359"/>
      <c r="R80" s="360"/>
      <c r="S80" s="361">
        <f>SUM(S76:S79)</f>
        <v>2</v>
      </c>
      <c r="T80" s="359"/>
      <c r="U80" s="360"/>
      <c r="V80" s="361">
        <f>SUM(V76:V79)</f>
        <v>3</v>
      </c>
      <c r="W80" s="359"/>
      <c r="X80" s="360"/>
      <c r="Y80" s="361">
        <f>SUM(Y76:Y79)</f>
        <v>0</v>
      </c>
      <c r="Z80" s="359"/>
      <c r="AA80" s="360"/>
      <c r="AB80" s="361">
        <f>SUM(AB76:AB79)</f>
        <v>0</v>
      </c>
      <c r="AC80" s="359"/>
      <c r="AD80" s="360"/>
      <c r="AE80" s="361">
        <f>SUM(AE76:AE79)</f>
        <v>0</v>
      </c>
      <c r="AF80" s="359"/>
      <c r="AG80" s="360"/>
      <c r="AH80" s="361">
        <f>SUM(AH76:AH79)</f>
        <v>0</v>
      </c>
      <c r="AI80" s="359"/>
      <c r="AJ80" s="360"/>
      <c r="AK80" s="361">
        <f>SUM(AK76:AK79)</f>
        <v>0</v>
      </c>
    </row>
    <row r="81" spans="1:37">
      <c r="A81" s="18" t="s">
        <v>90</v>
      </c>
      <c r="B81" s="19" t="s">
        <v>100</v>
      </c>
      <c r="C81" s="240" t="s">
        <v>101</v>
      </c>
      <c r="D81" s="230" t="s">
        <v>102</v>
      </c>
      <c r="E81" s="19" t="s">
        <v>100</v>
      </c>
      <c r="F81" s="240" t="s">
        <v>101</v>
      </c>
      <c r="G81" s="230" t="s">
        <v>102</v>
      </c>
      <c r="H81" s="19" t="s">
        <v>100</v>
      </c>
      <c r="I81" s="240" t="s">
        <v>101</v>
      </c>
      <c r="J81" s="230" t="s">
        <v>102</v>
      </c>
      <c r="K81" s="19" t="s">
        <v>100</v>
      </c>
      <c r="L81" s="240" t="s">
        <v>101</v>
      </c>
      <c r="M81" s="230" t="s">
        <v>102</v>
      </c>
      <c r="N81" s="19" t="s">
        <v>100</v>
      </c>
      <c r="O81" s="240" t="s">
        <v>101</v>
      </c>
      <c r="P81" s="230" t="s">
        <v>102</v>
      </c>
      <c r="Q81" s="19" t="s">
        <v>100</v>
      </c>
      <c r="R81" s="240" t="s">
        <v>101</v>
      </c>
      <c r="S81" s="230" t="s">
        <v>102</v>
      </c>
      <c r="T81" s="19" t="s">
        <v>100</v>
      </c>
      <c r="U81" s="240" t="s">
        <v>101</v>
      </c>
      <c r="V81" s="230" t="s">
        <v>102</v>
      </c>
      <c r="W81" s="19" t="s">
        <v>100</v>
      </c>
      <c r="X81" s="240" t="s">
        <v>101</v>
      </c>
      <c r="Y81" s="230" t="s">
        <v>102</v>
      </c>
      <c r="Z81" s="19" t="s">
        <v>100</v>
      </c>
      <c r="AA81" s="240" t="s">
        <v>101</v>
      </c>
      <c r="AB81" s="230" t="s">
        <v>102</v>
      </c>
      <c r="AC81" s="19" t="s">
        <v>100</v>
      </c>
      <c r="AD81" s="240" t="s">
        <v>101</v>
      </c>
      <c r="AE81" s="230" t="s">
        <v>102</v>
      </c>
      <c r="AF81" s="19" t="s">
        <v>100</v>
      </c>
      <c r="AG81" s="240" t="s">
        <v>101</v>
      </c>
      <c r="AH81" s="230" t="s">
        <v>102</v>
      </c>
      <c r="AI81" s="19" t="s">
        <v>100</v>
      </c>
      <c r="AJ81" s="240" t="s">
        <v>101</v>
      </c>
      <c r="AK81" s="230" t="s">
        <v>102</v>
      </c>
    </row>
    <row r="82" spans="1:37">
      <c r="A82" s="4" t="s">
        <v>91</v>
      </c>
      <c r="B82" s="323"/>
      <c r="C82" s="316"/>
      <c r="D82" s="225">
        <f>B82*C82</f>
        <v>0</v>
      </c>
      <c r="E82" s="323"/>
      <c r="F82" s="316"/>
      <c r="G82" s="225">
        <f t="shared" ref="G82:G86" si="101">E82*F82</f>
        <v>0</v>
      </c>
      <c r="H82" s="323"/>
      <c r="I82" s="316"/>
      <c r="J82" s="225">
        <f t="shared" ref="J82:J86" si="102">H82*I82</f>
        <v>0</v>
      </c>
      <c r="K82" s="323"/>
      <c r="L82" s="316"/>
      <c r="M82" s="225">
        <f t="shared" ref="M82:M86" si="103">K82*L82</f>
        <v>0</v>
      </c>
      <c r="N82" s="323"/>
      <c r="O82" s="316"/>
      <c r="P82" s="225">
        <f t="shared" ref="P82:P86" si="104">N82*O82</f>
        <v>0</v>
      </c>
      <c r="Q82" s="323"/>
      <c r="R82" s="316"/>
      <c r="S82" s="225">
        <f t="shared" ref="S82:S86" si="105">Q82*R82</f>
        <v>0</v>
      </c>
      <c r="T82" s="323"/>
      <c r="U82" s="316"/>
      <c r="V82" s="225">
        <f t="shared" ref="V82:V86" si="106">T82*U82</f>
        <v>0</v>
      </c>
      <c r="W82" s="323"/>
      <c r="X82" s="316"/>
      <c r="Y82" s="225">
        <f t="shared" ref="Y82:Y86" si="107">W82*X82</f>
        <v>0</v>
      </c>
      <c r="Z82" s="323"/>
      <c r="AA82" s="316"/>
      <c r="AB82" s="225">
        <f t="shared" ref="AB82:AB86" si="108">Z82*AA82</f>
        <v>0</v>
      </c>
      <c r="AC82" s="323"/>
      <c r="AD82" s="316"/>
      <c r="AE82" s="225">
        <f t="shared" ref="AE82:AE86" si="109">AC82*AD82</f>
        <v>0</v>
      </c>
      <c r="AF82" s="323"/>
      <c r="AG82" s="316"/>
      <c r="AH82" s="225">
        <f t="shared" ref="AH82:AH86" si="110">AF82*AG82</f>
        <v>0</v>
      </c>
      <c r="AI82" s="323"/>
      <c r="AJ82" s="316"/>
      <c r="AK82" s="225">
        <f t="shared" ref="AK82:AK86" si="111">AI82*AJ82</f>
        <v>0</v>
      </c>
    </row>
    <row r="83" spans="1:37">
      <c r="A83" s="4" t="s">
        <v>92</v>
      </c>
      <c r="B83" s="323"/>
      <c r="C83" s="316"/>
      <c r="D83" s="225">
        <f t="shared" ref="D83:D86" si="112">B83*C83</f>
        <v>0</v>
      </c>
      <c r="E83" s="323"/>
      <c r="F83" s="316"/>
      <c r="G83" s="225">
        <f t="shared" si="101"/>
        <v>0</v>
      </c>
      <c r="H83" s="323"/>
      <c r="I83" s="316"/>
      <c r="J83" s="225">
        <f t="shared" si="102"/>
        <v>0</v>
      </c>
      <c r="K83" s="323"/>
      <c r="L83" s="316"/>
      <c r="M83" s="225">
        <f t="shared" si="103"/>
        <v>0</v>
      </c>
      <c r="N83" s="323"/>
      <c r="O83" s="316"/>
      <c r="P83" s="225">
        <f t="shared" si="104"/>
        <v>0</v>
      </c>
      <c r="Q83" s="323"/>
      <c r="R83" s="316"/>
      <c r="S83" s="225">
        <f t="shared" si="105"/>
        <v>0</v>
      </c>
      <c r="T83" s="323"/>
      <c r="U83" s="316"/>
      <c r="V83" s="225">
        <f t="shared" si="106"/>
        <v>0</v>
      </c>
      <c r="W83" s="323"/>
      <c r="X83" s="316"/>
      <c r="Y83" s="225">
        <f t="shared" si="107"/>
        <v>0</v>
      </c>
      <c r="Z83" s="323"/>
      <c r="AA83" s="316"/>
      <c r="AB83" s="225">
        <f t="shared" si="108"/>
        <v>0</v>
      </c>
      <c r="AC83" s="323"/>
      <c r="AD83" s="316"/>
      <c r="AE83" s="225">
        <f t="shared" si="109"/>
        <v>0</v>
      </c>
      <c r="AF83" s="323"/>
      <c r="AG83" s="316"/>
      <c r="AH83" s="225">
        <f t="shared" si="110"/>
        <v>0</v>
      </c>
      <c r="AI83" s="323"/>
      <c r="AJ83" s="316"/>
      <c r="AK83" s="225">
        <f t="shared" si="111"/>
        <v>0</v>
      </c>
    </row>
    <row r="84" spans="1:37">
      <c r="A84" s="4" t="s">
        <v>93</v>
      </c>
      <c r="B84" s="323"/>
      <c r="C84" s="316"/>
      <c r="D84" s="225">
        <f t="shared" si="112"/>
        <v>0</v>
      </c>
      <c r="E84" s="323"/>
      <c r="F84" s="316"/>
      <c r="G84" s="225">
        <f t="shared" si="101"/>
        <v>0</v>
      </c>
      <c r="H84" s="323"/>
      <c r="I84" s="316"/>
      <c r="J84" s="225">
        <f t="shared" si="102"/>
        <v>0</v>
      </c>
      <c r="K84" s="323"/>
      <c r="L84" s="316"/>
      <c r="M84" s="225">
        <f t="shared" si="103"/>
        <v>0</v>
      </c>
      <c r="N84" s="323"/>
      <c r="O84" s="316"/>
      <c r="P84" s="225">
        <f t="shared" si="104"/>
        <v>0</v>
      </c>
      <c r="Q84" s="323"/>
      <c r="R84" s="316"/>
      <c r="S84" s="225">
        <f t="shared" si="105"/>
        <v>0</v>
      </c>
      <c r="T84" s="323"/>
      <c r="U84" s="316"/>
      <c r="V84" s="225">
        <f t="shared" si="106"/>
        <v>0</v>
      </c>
      <c r="W84" s="323"/>
      <c r="X84" s="316"/>
      <c r="Y84" s="225">
        <f t="shared" si="107"/>
        <v>0</v>
      </c>
      <c r="Z84" s="323"/>
      <c r="AA84" s="316"/>
      <c r="AB84" s="225">
        <f t="shared" si="108"/>
        <v>0</v>
      </c>
      <c r="AC84" s="323"/>
      <c r="AD84" s="316"/>
      <c r="AE84" s="225">
        <f t="shared" si="109"/>
        <v>0</v>
      </c>
      <c r="AF84" s="323"/>
      <c r="AG84" s="316"/>
      <c r="AH84" s="225">
        <f t="shared" si="110"/>
        <v>0</v>
      </c>
      <c r="AI84" s="323"/>
      <c r="AJ84" s="316"/>
      <c r="AK84" s="225">
        <f t="shared" si="111"/>
        <v>0</v>
      </c>
    </row>
    <row r="85" spans="1:37">
      <c r="A85" s="4" t="s">
        <v>272</v>
      </c>
      <c r="B85" s="323"/>
      <c r="C85" s="316"/>
      <c r="D85" s="225">
        <f t="shared" si="112"/>
        <v>0</v>
      </c>
      <c r="E85" s="323"/>
      <c r="F85" s="316"/>
      <c r="G85" s="225">
        <f t="shared" si="101"/>
        <v>0</v>
      </c>
      <c r="H85" s="323"/>
      <c r="I85" s="316"/>
      <c r="J85" s="225">
        <f t="shared" si="102"/>
        <v>0</v>
      </c>
      <c r="K85" s="323"/>
      <c r="L85" s="316"/>
      <c r="M85" s="225">
        <f t="shared" si="103"/>
        <v>0</v>
      </c>
      <c r="N85" s="323"/>
      <c r="O85" s="316"/>
      <c r="P85" s="225">
        <f t="shared" si="104"/>
        <v>0</v>
      </c>
      <c r="Q85" s="323"/>
      <c r="R85" s="316"/>
      <c r="S85" s="225">
        <f t="shared" si="105"/>
        <v>0</v>
      </c>
      <c r="T85" s="323"/>
      <c r="U85" s="316"/>
      <c r="V85" s="225">
        <f t="shared" si="106"/>
        <v>0</v>
      </c>
      <c r="W85" s="323"/>
      <c r="X85" s="316"/>
      <c r="Y85" s="225">
        <f t="shared" si="107"/>
        <v>0</v>
      </c>
      <c r="Z85" s="323"/>
      <c r="AA85" s="316"/>
      <c r="AB85" s="225">
        <f t="shared" si="108"/>
        <v>0</v>
      </c>
      <c r="AC85" s="323"/>
      <c r="AD85" s="316"/>
      <c r="AE85" s="225">
        <f t="shared" si="109"/>
        <v>0</v>
      </c>
      <c r="AF85" s="323"/>
      <c r="AG85" s="316"/>
      <c r="AH85" s="225">
        <f t="shared" si="110"/>
        <v>0</v>
      </c>
      <c r="AI85" s="323"/>
      <c r="AJ85" s="316"/>
      <c r="AK85" s="225">
        <f t="shared" si="111"/>
        <v>0</v>
      </c>
    </row>
    <row r="86" spans="1:37">
      <c r="A86" s="4" t="s">
        <v>94</v>
      </c>
      <c r="B86" s="323"/>
      <c r="C86" s="316"/>
      <c r="D86" s="225">
        <f t="shared" si="112"/>
        <v>0</v>
      </c>
      <c r="E86" s="323"/>
      <c r="F86" s="316"/>
      <c r="G86" s="225">
        <f t="shared" si="101"/>
        <v>0</v>
      </c>
      <c r="H86" s="323"/>
      <c r="I86" s="316"/>
      <c r="J86" s="225">
        <f t="shared" si="102"/>
        <v>0</v>
      </c>
      <c r="K86" s="323"/>
      <c r="L86" s="316"/>
      <c r="M86" s="225">
        <f t="shared" si="103"/>
        <v>0</v>
      </c>
      <c r="N86" s="323"/>
      <c r="O86" s="316"/>
      <c r="P86" s="225">
        <f t="shared" si="104"/>
        <v>0</v>
      </c>
      <c r="Q86" s="323"/>
      <c r="R86" s="316"/>
      <c r="S86" s="225">
        <f t="shared" si="105"/>
        <v>0</v>
      </c>
      <c r="T86" s="323"/>
      <c r="U86" s="316"/>
      <c r="V86" s="225">
        <f t="shared" si="106"/>
        <v>0</v>
      </c>
      <c r="W86" s="323"/>
      <c r="X86" s="316"/>
      <c r="Y86" s="225">
        <f t="shared" si="107"/>
        <v>0</v>
      </c>
      <c r="Z86" s="323"/>
      <c r="AA86" s="316"/>
      <c r="AB86" s="225">
        <f t="shared" si="108"/>
        <v>0</v>
      </c>
      <c r="AC86" s="323"/>
      <c r="AD86" s="316"/>
      <c r="AE86" s="225">
        <f t="shared" si="109"/>
        <v>0</v>
      </c>
      <c r="AF86" s="323"/>
      <c r="AG86" s="316"/>
      <c r="AH86" s="225">
        <f t="shared" si="110"/>
        <v>0</v>
      </c>
      <c r="AI86" s="323"/>
      <c r="AJ86" s="316"/>
      <c r="AK86" s="225">
        <f t="shared" si="111"/>
        <v>0</v>
      </c>
    </row>
    <row r="87" spans="1:37" ht="15.75" thickBot="1">
      <c r="A87" s="358" t="s">
        <v>348</v>
      </c>
      <c r="B87" s="359"/>
      <c r="C87" s="360"/>
      <c r="D87" s="361">
        <f>SUM(D82:D86)</f>
        <v>0</v>
      </c>
      <c r="E87" s="359"/>
      <c r="F87" s="360"/>
      <c r="G87" s="361">
        <f>SUM(G82:G86)</f>
        <v>0</v>
      </c>
      <c r="H87" s="359"/>
      <c r="I87" s="360"/>
      <c r="J87" s="361">
        <f>SUM(J82:J86)</f>
        <v>0</v>
      </c>
      <c r="K87" s="359"/>
      <c r="L87" s="360"/>
      <c r="M87" s="361">
        <f>SUM(M82:M86)</f>
        <v>0</v>
      </c>
      <c r="N87" s="359"/>
      <c r="O87" s="360"/>
      <c r="P87" s="361">
        <f>SUM(P82:P86)</f>
        <v>0</v>
      </c>
      <c r="Q87" s="359"/>
      <c r="R87" s="360"/>
      <c r="S87" s="361">
        <f>SUM(S82:S86)</f>
        <v>0</v>
      </c>
      <c r="T87" s="359"/>
      <c r="U87" s="360"/>
      <c r="V87" s="361">
        <f>SUM(V82:V86)</f>
        <v>0</v>
      </c>
      <c r="W87" s="359"/>
      <c r="X87" s="360"/>
      <c r="Y87" s="361">
        <f>SUM(Y82:Y86)</f>
        <v>0</v>
      </c>
      <c r="Z87" s="359"/>
      <c r="AA87" s="360"/>
      <c r="AB87" s="361">
        <f>SUM(AB82:AB86)</f>
        <v>0</v>
      </c>
      <c r="AC87" s="359"/>
      <c r="AD87" s="360"/>
      <c r="AE87" s="361">
        <f>SUM(AE82:AE86)</f>
        <v>0</v>
      </c>
      <c r="AF87" s="359"/>
      <c r="AG87" s="360"/>
      <c r="AH87" s="361">
        <f>SUM(AH82:AH86)</f>
        <v>0</v>
      </c>
      <c r="AI87" s="359"/>
      <c r="AJ87" s="360"/>
      <c r="AK87" s="361">
        <f>SUM(AK82:AK86)</f>
        <v>0</v>
      </c>
    </row>
    <row r="88" spans="1:37" ht="15.75" thickBot="1">
      <c r="A88" s="7" t="s">
        <v>273</v>
      </c>
      <c r="B88" s="23" t="s">
        <v>100</v>
      </c>
      <c r="C88" s="241" t="s">
        <v>101</v>
      </c>
      <c r="D88" s="232" t="s">
        <v>102</v>
      </c>
      <c r="E88" s="23" t="s">
        <v>100</v>
      </c>
      <c r="F88" s="241" t="s">
        <v>101</v>
      </c>
      <c r="G88" s="232" t="s">
        <v>102</v>
      </c>
      <c r="H88" s="23" t="s">
        <v>100</v>
      </c>
      <c r="I88" s="241" t="s">
        <v>101</v>
      </c>
      <c r="J88" s="232" t="s">
        <v>102</v>
      </c>
      <c r="K88" s="23" t="s">
        <v>100</v>
      </c>
      <c r="L88" s="241" t="s">
        <v>101</v>
      </c>
      <c r="M88" s="232" t="s">
        <v>102</v>
      </c>
      <c r="N88" s="23" t="s">
        <v>100</v>
      </c>
      <c r="O88" s="241" t="s">
        <v>101</v>
      </c>
      <c r="P88" s="232" t="s">
        <v>102</v>
      </c>
      <c r="Q88" s="23" t="s">
        <v>100</v>
      </c>
      <c r="R88" s="241" t="s">
        <v>101</v>
      </c>
      <c r="S88" s="232" t="s">
        <v>102</v>
      </c>
      <c r="T88" s="23" t="s">
        <v>100</v>
      </c>
      <c r="U88" s="241" t="s">
        <v>101</v>
      </c>
      <c r="V88" s="232" t="s">
        <v>102</v>
      </c>
      <c r="W88" s="23" t="s">
        <v>100</v>
      </c>
      <c r="X88" s="241" t="s">
        <v>101</v>
      </c>
      <c r="Y88" s="232" t="s">
        <v>102</v>
      </c>
      <c r="Z88" s="23" t="s">
        <v>100</v>
      </c>
      <c r="AA88" s="241" t="s">
        <v>101</v>
      </c>
      <c r="AB88" s="232" t="s">
        <v>102</v>
      </c>
      <c r="AC88" s="23" t="s">
        <v>100</v>
      </c>
      <c r="AD88" s="241" t="s">
        <v>101</v>
      </c>
      <c r="AE88" s="232" t="s">
        <v>102</v>
      </c>
      <c r="AF88" s="23" t="s">
        <v>100</v>
      </c>
      <c r="AG88" s="241" t="s">
        <v>101</v>
      </c>
      <c r="AH88" s="232" t="s">
        <v>102</v>
      </c>
      <c r="AI88" s="23" t="s">
        <v>100</v>
      </c>
      <c r="AJ88" s="241" t="s">
        <v>101</v>
      </c>
      <c r="AK88" s="232" t="s">
        <v>102</v>
      </c>
    </row>
    <row r="89" spans="1:37">
      <c r="A89" s="4" t="s">
        <v>103</v>
      </c>
      <c r="B89" s="323"/>
      <c r="C89" s="316"/>
      <c r="D89" s="225">
        <f>B89*C89</f>
        <v>0</v>
      </c>
      <c r="E89" s="323"/>
      <c r="F89" s="316"/>
      <c r="G89" s="225">
        <f t="shared" ref="G89:G91" si="113">E89*F89</f>
        <v>0</v>
      </c>
      <c r="H89" s="323"/>
      <c r="I89" s="316"/>
      <c r="J89" s="225">
        <f t="shared" ref="J89:J91" si="114">H89*I89</f>
        <v>0</v>
      </c>
      <c r="K89" s="323"/>
      <c r="L89" s="316"/>
      <c r="M89" s="225">
        <f t="shared" ref="M89:M91" si="115">K89*L89</f>
        <v>0</v>
      </c>
      <c r="N89" s="323"/>
      <c r="O89" s="316"/>
      <c r="P89" s="225">
        <f t="shared" ref="P89:P91" si="116">N89*O89</f>
        <v>0</v>
      </c>
      <c r="Q89" s="323"/>
      <c r="R89" s="316"/>
      <c r="S89" s="225">
        <f t="shared" ref="S89:S91" si="117">Q89*R89</f>
        <v>0</v>
      </c>
      <c r="T89" s="323"/>
      <c r="U89" s="316"/>
      <c r="V89" s="225">
        <f t="shared" ref="V89:V91" si="118">T89*U89</f>
        <v>0</v>
      </c>
      <c r="W89" s="323"/>
      <c r="X89" s="316"/>
      <c r="Y89" s="225">
        <f t="shared" ref="Y89:Y91" si="119">W89*X89</f>
        <v>0</v>
      </c>
      <c r="Z89" s="323"/>
      <c r="AA89" s="316"/>
      <c r="AB89" s="225">
        <f t="shared" ref="AB89:AB91" si="120">Z89*AA89</f>
        <v>0</v>
      </c>
      <c r="AC89" s="323"/>
      <c r="AD89" s="316"/>
      <c r="AE89" s="225">
        <f t="shared" ref="AE89:AE91" si="121">AC89*AD89</f>
        <v>0</v>
      </c>
      <c r="AF89" s="323"/>
      <c r="AG89" s="316"/>
      <c r="AH89" s="225">
        <f t="shared" ref="AH89:AH91" si="122">AF89*AG89</f>
        <v>0</v>
      </c>
      <c r="AI89" s="323"/>
      <c r="AJ89" s="316"/>
      <c r="AK89" s="225">
        <f t="shared" ref="AK89:AK91" si="123">AI89*AJ89</f>
        <v>0</v>
      </c>
    </row>
    <row r="90" spans="1:37">
      <c r="A90" s="4" t="s">
        <v>104</v>
      </c>
      <c r="B90" s="323"/>
      <c r="C90" s="316"/>
      <c r="D90" s="225">
        <f t="shared" ref="D90:D91" si="124">B90*C90</f>
        <v>0</v>
      </c>
      <c r="E90" s="323"/>
      <c r="F90" s="316"/>
      <c r="G90" s="225">
        <f t="shared" si="113"/>
        <v>0</v>
      </c>
      <c r="H90" s="323"/>
      <c r="I90" s="316"/>
      <c r="J90" s="225">
        <f t="shared" si="114"/>
        <v>0</v>
      </c>
      <c r="K90" s="323"/>
      <c r="L90" s="316"/>
      <c r="M90" s="225">
        <f t="shared" si="115"/>
        <v>0</v>
      </c>
      <c r="N90" s="323"/>
      <c r="O90" s="316"/>
      <c r="P90" s="225">
        <f t="shared" si="116"/>
        <v>0</v>
      </c>
      <c r="Q90" s="323"/>
      <c r="R90" s="316"/>
      <c r="S90" s="225">
        <f t="shared" si="117"/>
        <v>0</v>
      </c>
      <c r="T90" s="323"/>
      <c r="U90" s="316"/>
      <c r="V90" s="225">
        <f t="shared" si="118"/>
        <v>0</v>
      </c>
      <c r="W90" s="323"/>
      <c r="X90" s="316"/>
      <c r="Y90" s="225">
        <f t="shared" si="119"/>
        <v>0</v>
      </c>
      <c r="Z90" s="323"/>
      <c r="AA90" s="316"/>
      <c r="AB90" s="225">
        <f t="shared" si="120"/>
        <v>0</v>
      </c>
      <c r="AC90" s="323"/>
      <c r="AD90" s="316"/>
      <c r="AE90" s="225">
        <f t="shared" si="121"/>
        <v>0</v>
      </c>
      <c r="AF90" s="323"/>
      <c r="AG90" s="316"/>
      <c r="AH90" s="225">
        <f t="shared" si="122"/>
        <v>0</v>
      </c>
      <c r="AI90" s="323"/>
      <c r="AJ90" s="316"/>
      <c r="AK90" s="225">
        <f t="shared" si="123"/>
        <v>0</v>
      </c>
    </row>
    <row r="91" spans="1:37">
      <c r="A91" s="4" t="s">
        <v>105</v>
      </c>
      <c r="B91" s="323"/>
      <c r="C91" s="316"/>
      <c r="D91" s="225">
        <f t="shared" si="124"/>
        <v>0</v>
      </c>
      <c r="E91" s="323"/>
      <c r="F91" s="316"/>
      <c r="G91" s="225">
        <f t="shared" si="113"/>
        <v>0</v>
      </c>
      <c r="H91" s="323"/>
      <c r="I91" s="316"/>
      <c r="J91" s="225">
        <f t="shared" si="114"/>
        <v>0</v>
      </c>
      <c r="K91" s="323"/>
      <c r="L91" s="316"/>
      <c r="M91" s="225">
        <f t="shared" si="115"/>
        <v>0</v>
      </c>
      <c r="N91" s="323"/>
      <c r="O91" s="316"/>
      <c r="P91" s="225">
        <f t="shared" si="116"/>
        <v>0</v>
      </c>
      <c r="Q91" s="323"/>
      <c r="R91" s="316"/>
      <c r="S91" s="225">
        <f t="shared" si="117"/>
        <v>0</v>
      </c>
      <c r="T91" s="323"/>
      <c r="U91" s="316"/>
      <c r="V91" s="225">
        <f t="shared" si="118"/>
        <v>0</v>
      </c>
      <c r="W91" s="323"/>
      <c r="X91" s="316"/>
      <c r="Y91" s="225">
        <f t="shared" si="119"/>
        <v>0</v>
      </c>
      <c r="Z91" s="323"/>
      <c r="AA91" s="316"/>
      <c r="AB91" s="225">
        <f t="shared" si="120"/>
        <v>0</v>
      </c>
      <c r="AC91" s="323"/>
      <c r="AD91" s="316"/>
      <c r="AE91" s="225">
        <f t="shared" si="121"/>
        <v>0</v>
      </c>
      <c r="AF91" s="323"/>
      <c r="AG91" s="316"/>
      <c r="AH91" s="225">
        <f t="shared" si="122"/>
        <v>0</v>
      </c>
      <c r="AI91" s="323"/>
      <c r="AJ91" s="316"/>
      <c r="AK91" s="225">
        <f t="shared" si="123"/>
        <v>0</v>
      </c>
    </row>
    <row r="92" spans="1:37" ht="15.75" thickBot="1">
      <c r="A92" s="358" t="s">
        <v>348</v>
      </c>
      <c r="B92" s="359"/>
      <c r="C92" s="360"/>
      <c r="D92" s="361">
        <f>SUM(D89:D91)</f>
        <v>0</v>
      </c>
      <c r="E92" s="359"/>
      <c r="F92" s="360"/>
      <c r="G92" s="361">
        <f>SUM(G89:G91)</f>
        <v>0</v>
      </c>
      <c r="H92" s="359"/>
      <c r="I92" s="360"/>
      <c r="J92" s="361">
        <f>SUM(J89:J91)</f>
        <v>0</v>
      </c>
      <c r="K92" s="359"/>
      <c r="L92" s="360"/>
      <c r="M92" s="361">
        <f>SUM(M89:M91)</f>
        <v>0</v>
      </c>
      <c r="N92" s="359"/>
      <c r="O92" s="360"/>
      <c r="P92" s="361">
        <f>SUM(P89:P91)</f>
        <v>0</v>
      </c>
      <c r="Q92" s="359"/>
      <c r="R92" s="360"/>
      <c r="S92" s="361">
        <f>SUM(S89:S91)</f>
        <v>0</v>
      </c>
      <c r="T92" s="359"/>
      <c r="U92" s="360"/>
      <c r="V92" s="361">
        <f>SUM(V89:V91)</f>
        <v>0</v>
      </c>
      <c r="W92" s="359"/>
      <c r="X92" s="360"/>
      <c r="Y92" s="361">
        <f>SUM(Y89:Y91)</f>
        <v>0</v>
      </c>
      <c r="Z92" s="359"/>
      <c r="AA92" s="360"/>
      <c r="AB92" s="361">
        <f>SUM(AB89:AB91)</f>
        <v>0</v>
      </c>
      <c r="AC92" s="359"/>
      <c r="AD92" s="360"/>
      <c r="AE92" s="361">
        <f>SUM(AE89:AE91)</f>
        <v>0</v>
      </c>
      <c r="AF92" s="359"/>
      <c r="AG92" s="360"/>
      <c r="AH92" s="361">
        <f>SUM(AH89:AH91)</f>
        <v>0</v>
      </c>
      <c r="AI92" s="359"/>
      <c r="AJ92" s="360"/>
      <c r="AK92" s="361">
        <f>SUM(AK89:AK91)</f>
        <v>0</v>
      </c>
    </row>
    <row r="93" spans="1:37" ht="15.75" thickBot="1">
      <c r="A93" s="7" t="s">
        <v>294</v>
      </c>
      <c r="B93" s="23" t="s">
        <v>100</v>
      </c>
      <c r="C93" s="241" t="s">
        <v>101</v>
      </c>
      <c r="D93" s="232" t="s">
        <v>102</v>
      </c>
      <c r="E93" s="23" t="s">
        <v>100</v>
      </c>
      <c r="F93" s="241" t="s">
        <v>101</v>
      </c>
      <c r="G93" s="232" t="s">
        <v>102</v>
      </c>
      <c r="H93" s="23" t="s">
        <v>100</v>
      </c>
      <c r="I93" s="241" t="s">
        <v>101</v>
      </c>
      <c r="J93" s="232" t="s">
        <v>102</v>
      </c>
      <c r="K93" s="23" t="s">
        <v>100</v>
      </c>
      <c r="L93" s="241" t="s">
        <v>101</v>
      </c>
      <c r="M93" s="232" t="s">
        <v>102</v>
      </c>
      <c r="N93" s="23" t="s">
        <v>100</v>
      </c>
      <c r="O93" s="241" t="s">
        <v>101</v>
      </c>
      <c r="P93" s="232" t="s">
        <v>102</v>
      </c>
      <c r="Q93" s="23" t="s">
        <v>100</v>
      </c>
      <c r="R93" s="241" t="s">
        <v>101</v>
      </c>
      <c r="S93" s="232" t="s">
        <v>102</v>
      </c>
      <c r="T93" s="23" t="s">
        <v>100</v>
      </c>
      <c r="U93" s="241" t="s">
        <v>101</v>
      </c>
      <c r="V93" s="232" t="s">
        <v>102</v>
      </c>
      <c r="W93" s="23" t="s">
        <v>100</v>
      </c>
      <c r="X93" s="241" t="s">
        <v>101</v>
      </c>
      <c r="Y93" s="232" t="s">
        <v>102</v>
      </c>
      <c r="Z93" s="23" t="s">
        <v>100</v>
      </c>
      <c r="AA93" s="241" t="s">
        <v>101</v>
      </c>
      <c r="AB93" s="232" t="s">
        <v>102</v>
      </c>
      <c r="AC93" s="23" t="s">
        <v>100</v>
      </c>
      <c r="AD93" s="241" t="s">
        <v>101</v>
      </c>
      <c r="AE93" s="232" t="s">
        <v>102</v>
      </c>
      <c r="AF93" s="23" t="s">
        <v>100</v>
      </c>
      <c r="AG93" s="241" t="s">
        <v>101</v>
      </c>
      <c r="AH93" s="232" t="s">
        <v>102</v>
      </c>
      <c r="AI93" s="23" t="s">
        <v>100</v>
      </c>
      <c r="AJ93" s="241" t="s">
        <v>101</v>
      </c>
      <c r="AK93" s="232" t="s">
        <v>102</v>
      </c>
    </row>
    <row r="94" spans="1:37" ht="15.75" thickBot="1">
      <c r="A94" s="206" t="s">
        <v>274</v>
      </c>
      <c r="B94" s="326"/>
      <c r="C94" s="327"/>
      <c r="D94" s="227">
        <f>B94*C94</f>
        <v>0</v>
      </c>
      <c r="E94" s="326"/>
      <c r="F94" s="327"/>
      <c r="G94" s="227">
        <f t="shared" ref="G94" si="125">E94*F94</f>
        <v>0</v>
      </c>
      <c r="H94" s="326"/>
      <c r="I94" s="327"/>
      <c r="J94" s="227">
        <f t="shared" ref="J94" si="126">H94*I94</f>
        <v>0</v>
      </c>
      <c r="K94" s="326"/>
      <c r="L94" s="327"/>
      <c r="M94" s="227">
        <f t="shared" ref="M94" si="127">K94*L94</f>
        <v>0</v>
      </c>
      <c r="N94" s="326"/>
      <c r="O94" s="327"/>
      <c r="P94" s="227">
        <f t="shared" ref="P94" si="128">N94*O94</f>
        <v>0</v>
      </c>
      <c r="Q94" s="326"/>
      <c r="R94" s="327"/>
      <c r="S94" s="227">
        <f t="shared" ref="S94" si="129">Q94*R94</f>
        <v>0</v>
      </c>
      <c r="T94" s="326"/>
      <c r="U94" s="327"/>
      <c r="V94" s="227">
        <f t="shared" ref="V94" si="130">T94*U94</f>
        <v>0</v>
      </c>
      <c r="W94" s="326"/>
      <c r="X94" s="327"/>
      <c r="Y94" s="227">
        <f t="shared" ref="Y94" si="131">W94*X94</f>
        <v>0</v>
      </c>
      <c r="Z94" s="326"/>
      <c r="AA94" s="327"/>
      <c r="AB94" s="227">
        <f t="shared" ref="AB94" si="132">Z94*AA94</f>
        <v>0</v>
      </c>
      <c r="AC94" s="326"/>
      <c r="AD94" s="327"/>
      <c r="AE94" s="227">
        <f t="shared" ref="AE94" si="133">AC94*AD94</f>
        <v>0</v>
      </c>
      <c r="AF94" s="326"/>
      <c r="AG94" s="327"/>
      <c r="AH94" s="227">
        <f t="shared" ref="AH94" si="134">AF94*AG94</f>
        <v>0</v>
      </c>
      <c r="AI94" s="326"/>
      <c r="AJ94" s="327"/>
      <c r="AK94" s="227">
        <f t="shared" ref="AK94" si="135">AI94*AJ94</f>
        <v>0</v>
      </c>
    </row>
    <row r="95" spans="1:37" ht="15.75" thickBot="1">
      <c r="A95" s="7" t="s">
        <v>380</v>
      </c>
      <c r="B95" s="22"/>
      <c r="C95" s="242"/>
      <c r="D95" s="233">
        <f>SUM(D94,D89:D91,D82:D86,D76:D79,D62:D73,D54:D59,D42:D51,D29:D39,D16:D26)</f>
        <v>1058.81</v>
      </c>
      <c r="E95" s="22"/>
      <c r="F95" s="242"/>
      <c r="G95" s="233">
        <f>SUM(G94,G89:G91,G82:G86,G76:G79,G62:G73,G54:G59,G42:G51,G29:G39,G16:G26)</f>
        <v>1047.8599999999999</v>
      </c>
      <c r="H95" s="22"/>
      <c r="I95" s="242"/>
      <c r="J95" s="233">
        <f>SUM(J94,J89:J91,J82:J86,J76:J79,J62:J73,J54:J59,J42:J51,J29:J39,J16:J26)</f>
        <v>900.88000000000011</v>
      </c>
      <c r="K95" s="22"/>
      <c r="L95" s="242"/>
      <c r="M95" s="233">
        <f>SUM(M94,M89:M91,M82:M86,M76:M79,M62:M73,M54:M59,M42:M51,M29:M39,M16:M26)</f>
        <v>648.53</v>
      </c>
      <c r="N95" s="22"/>
      <c r="O95" s="242"/>
      <c r="P95" s="233">
        <f>SUM(P94,P89:P91,P82:P86,P76:P79,P62:P73,P54:P59,P42:P51,P29:P39,P16:P26)</f>
        <v>815.98</v>
      </c>
      <c r="Q95" s="22"/>
      <c r="R95" s="242"/>
      <c r="S95" s="233">
        <f>SUM(S94,S89:S91,S82:S86,S76:S79,S62:S73,S54:S59,S42:S51,S29:S39,S16:S26)</f>
        <v>1641.44</v>
      </c>
      <c r="T95" s="22"/>
      <c r="U95" s="242"/>
      <c r="V95" s="233">
        <f>SUM(V94,V89:V91,V82:V86,V76:V79,V62:V73,V54:V59,V42:V51,V29:V39,V16:V26)</f>
        <v>1803</v>
      </c>
      <c r="W95" s="22"/>
      <c r="X95" s="242"/>
      <c r="Y95" s="233">
        <f>SUM(Y94,Y89:Y91,Y82:Y86,Y76:Y79,Y62:Y73,Y54:Y59,Y42:Y51,Y29:Y39,Y16:Y26)</f>
        <v>0</v>
      </c>
      <c r="Z95" s="22"/>
      <c r="AA95" s="242"/>
      <c r="AB95" s="233">
        <f>SUM(AB94,AB89:AB91,AB82:AB86,AB76:AB79,AB62:AB73,AB54:AB59,AB42:AB51,AB29:AB39,AB16:AB26)</f>
        <v>0</v>
      </c>
      <c r="AC95" s="22"/>
      <c r="AD95" s="242"/>
      <c r="AE95" s="233">
        <f>SUM(AE94,AE89:AE91,AE82:AE86,AE76:AE79,AE62:AE73,AE54:AE59,AE42:AE51,AE29:AE39,AE16:AE26)</f>
        <v>0</v>
      </c>
      <c r="AF95" s="22"/>
      <c r="AG95" s="242"/>
      <c r="AH95" s="233">
        <f>SUM(AH94,AH89:AH91,AH82:AH86,AH76:AH79,AH62:AH73,AH54:AH59,AH42:AH51,AH29:AH39,AH16:AH26)</f>
        <v>0</v>
      </c>
      <c r="AI95" s="22"/>
      <c r="AJ95" s="242"/>
      <c r="AK95" s="233">
        <f>SUM(AK94,AK89:AK91,AK82:AK86,AK76:AK79,AK62:AK73,AK54:AK59,AK42:AK51,AK29:AK39,AK16:AK26)</f>
        <v>0</v>
      </c>
    </row>
    <row r="96" spans="1:37" ht="15.75" thickBot="1">
      <c r="A96" s="6" t="s">
        <v>106</v>
      </c>
      <c r="B96" s="328"/>
      <c r="C96" s="351">
        <f>INVENTÁRIO!$J$36</f>
        <v>873.36666666666667</v>
      </c>
      <c r="D96" s="234">
        <f>B96*C96</f>
        <v>0</v>
      </c>
      <c r="E96" s="328"/>
      <c r="F96" s="351">
        <f>INVENTÁRIO!$J$36</f>
        <v>873.36666666666667</v>
      </c>
      <c r="G96" s="234">
        <f t="shared" ref="G96" si="136">E96*F96</f>
        <v>0</v>
      </c>
      <c r="H96" s="328"/>
      <c r="I96" s="351">
        <f>INVENTÁRIO!$J$36</f>
        <v>873.36666666666667</v>
      </c>
      <c r="J96" s="234">
        <f t="shared" ref="J96" si="137">H96*I96</f>
        <v>0</v>
      </c>
      <c r="K96" s="328"/>
      <c r="L96" s="351">
        <f>INVENTÁRIO!$J$36</f>
        <v>873.36666666666667</v>
      </c>
      <c r="M96" s="234">
        <f t="shared" ref="M96" si="138">K96*L96</f>
        <v>0</v>
      </c>
      <c r="N96" s="328"/>
      <c r="O96" s="351">
        <f>INVENTÁRIO!$J$36</f>
        <v>873.36666666666667</v>
      </c>
      <c r="P96" s="234">
        <f t="shared" ref="P96" si="139">N96*O96</f>
        <v>0</v>
      </c>
      <c r="Q96" s="328"/>
      <c r="R96" s="351">
        <f>INVENTÁRIO!$J$36</f>
        <v>873.36666666666667</v>
      </c>
      <c r="S96" s="234">
        <f t="shared" ref="S96" si="140">Q96*R96</f>
        <v>0</v>
      </c>
      <c r="T96" s="328"/>
      <c r="U96" s="351">
        <f>INVENTÁRIO!$J$36</f>
        <v>873.36666666666667</v>
      </c>
      <c r="V96" s="234">
        <f t="shared" ref="V96" si="141">T96*U96</f>
        <v>0</v>
      </c>
      <c r="W96" s="328"/>
      <c r="X96" s="351">
        <f>INVENTÁRIO!$J$36</f>
        <v>873.36666666666667</v>
      </c>
      <c r="Y96" s="234">
        <f t="shared" ref="Y96" si="142">W96*X96</f>
        <v>0</v>
      </c>
      <c r="Z96" s="328"/>
      <c r="AA96" s="351">
        <f>INVENTÁRIO!$J$36</f>
        <v>873.36666666666667</v>
      </c>
      <c r="AB96" s="234">
        <f t="shared" ref="AB96" si="143">Z96*AA96</f>
        <v>0</v>
      </c>
      <c r="AC96" s="328"/>
      <c r="AD96" s="351">
        <f>INVENTÁRIO!$J$36</f>
        <v>873.36666666666667</v>
      </c>
      <c r="AE96" s="234">
        <f t="shared" ref="AE96" si="144">AC96*AD96</f>
        <v>0</v>
      </c>
      <c r="AF96" s="328"/>
      <c r="AG96" s="351">
        <f>INVENTÁRIO!$J$36</f>
        <v>873.36666666666667</v>
      </c>
      <c r="AH96" s="234">
        <f t="shared" ref="AH96" si="145">AF96*AG96</f>
        <v>0</v>
      </c>
      <c r="AI96" s="328"/>
      <c r="AJ96" s="351">
        <f>INVENTÁRIO!$J$36</f>
        <v>873.36666666666667</v>
      </c>
      <c r="AK96" s="233">
        <f t="shared" ref="AK96" si="146">AI96*AJ96</f>
        <v>0</v>
      </c>
    </row>
    <row r="97" spans="2:37">
      <c r="B97" s="5"/>
      <c r="C97" s="235"/>
      <c r="D97" s="23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>
      <c r="B98" s="5"/>
      <c r="C98" s="235"/>
      <c r="D98" s="23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mergeCells count="13">
    <mergeCell ref="A2:B4"/>
    <mergeCell ref="B5:D5"/>
    <mergeCell ref="E5:G5"/>
    <mergeCell ref="H5:J5"/>
    <mergeCell ref="K5:M5"/>
    <mergeCell ref="AC5:AE5"/>
    <mergeCell ref="AF5:AH5"/>
    <mergeCell ref="AI5:AK5"/>
    <mergeCell ref="N5:P5"/>
    <mergeCell ref="Q5:S5"/>
    <mergeCell ref="T5:V5"/>
    <mergeCell ref="W5:Y5"/>
    <mergeCell ref="Z5:AB5"/>
  </mergeCell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S153"/>
  <sheetViews>
    <sheetView topLeftCell="A4" workbookViewId="0">
      <pane xSplit="1" topLeftCell="B1" activePane="topRight" state="frozen"/>
      <selection pane="topRight" activeCell="I16" sqref="I16"/>
    </sheetView>
  </sheetViews>
  <sheetFormatPr defaultRowHeight="1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>
      <c r="D1" s="152"/>
    </row>
    <row r="2" spans="1:17">
      <c r="A2" s="528" t="s">
        <v>130</v>
      </c>
      <c r="B2" s="528"/>
    </row>
    <row r="3" spans="1:17">
      <c r="A3" s="528"/>
      <c r="B3" s="528"/>
    </row>
    <row r="4" spans="1:17">
      <c r="A4" s="534"/>
      <c r="B4" s="534"/>
    </row>
    <row r="5" spans="1:17">
      <c r="A5" s="24" t="s">
        <v>111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112</v>
      </c>
    </row>
    <row r="6" spans="1:17">
      <c r="A6" s="531" t="s">
        <v>222</v>
      </c>
      <c r="B6" s="531"/>
      <c r="C6" s="364">
        <v>55.4</v>
      </c>
      <c r="D6" s="364">
        <v>49.2</v>
      </c>
      <c r="E6" s="364">
        <f t="shared" ref="E6:N6" si="0">E7/31</f>
        <v>49.838709677419352</v>
      </c>
      <c r="F6" s="364">
        <f>F7/30</f>
        <v>48</v>
      </c>
      <c r="G6" s="364">
        <f t="shared" si="0"/>
        <v>30.9</v>
      </c>
      <c r="H6" s="364">
        <f>H7/30</f>
        <v>41.766666666666666</v>
      </c>
      <c r="I6" s="364">
        <f t="shared" si="0"/>
        <v>59.838709677419352</v>
      </c>
      <c r="J6" s="364">
        <f t="shared" si="0"/>
        <v>0</v>
      </c>
      <c r="K6" s="364">
        <f>K7/30</f>
        <v>0</v>
      </c>
      <c r="L6" s="364">
        <f t="shared" si="0"/>
        <v>0</v>
      </c>
      <c r="M6" s="364">
        <f>M7/30</f>
        <v>0</v>
      </c>
      <c r="N6" s="364">
        <f t="shared" si="0"/>
        <v>0</v>
      </c>
      <c r="O6" s="364">
        <f>AVERAGE(C6:N6)</f>
        <v>27.912007168458782</v>
      </c>
    </row>
    <row r="7" spans="1:17">
      <c r="A7" s="532" t="s">
        <v>113</v>
      </c>
      <c r="B7" s="533"/>
      <c r="C7" s="329">
        <v>1662</v>
      </c>
      <c r="D7" s="329">
        <v>1476</v>
      </c>
      <c r="E7" s="329">
        <v>1545</v>
      </c>
      <c r="F7" s="329">
        <v>1440</v>
      </c>
      <c r="G7" s="329">
        <v>957.9</v>
      </c>
      <c r="H7" s="329">
        <v>1253</v>
      </c>
      <c r="I7" s="329">
        <v>1855</v>
      </c>
      <c r="J7" s="329"/>
      <c r="K7" s="329"/>
      <c r="L7" s="329"/>
      <c r="M7" s="329"/>
      <c r="N7" s="329"/>
      <c r="O7" s="364">
        <f>AVERAGE(C7:N7)</f>
        <v>1455.5571428571427</v>
      </c>
    </row>
    <row r="9" spans="1:17" s="5" customFormat="1">
      <c r="A9" s="153"/>
      <c r="B9" s="153"/>
      <c r="C9" s="153"/>
      <c r="D9" s="153"/>
      <c r="E9" s="153"/>
    </row>
    <row r="10" spans="1:17" s="5" customFormat="1">
      <c r="A10" s="208" t="s">
        <v>293</v>
      </c>
      <c r="B10" s="209"/>
      <c r="C10" s="205" t="s">
        <v>4</v>
      </c>
      <c r="D10" s="205" t="s">
        <v>5</v>
      </c>
      <c r="E10" s="205" t="s">
        <v>6</v>
      </c>
      <c r="F10" s="205" t="s">
        <v>7</v>
      </c>
      <c r="G10" s="205" t="s">
        <v>8</v>
      </c>
      <c r="H10" s="205" t="s">
        <v>41</v>
      </c>
      <c r="I10" s="205" t="s">
        <v>42</v>
      </c>
      <c r="J10" s="205" t="s">
        <v>53</v>
      </c>
      <c r="K10" s="205" t="s">
        <v>44</v>
      </c>
      <c r="L10" s="205" t="s">
        <v>45</v>
      </c>
      <c r="M10" s="205" t="s">
        <v>46</v>
      </c>
      <c r="N10" s="205" t="s">
        <v>47</v>
      </c>
      <c r="O10" s="208" t="s">
        <v>292</v>
      </c>
      <c r="P10" s="155"/>
      <c r="Q10" s="155"/>
    </row>
    <row r="11" spans="1:17" s="5" customFormat="1">
      <c r="A11" s="30" t="s">
        <v>275</v>
      </c>
      <c r="C11" s="319">
        <v>7</v>
      </c>
      <c r="D11" s="319">
        <v>7</v>
      </c>
      <c r="E11" s="319">
        <v>5</v>
      </c>
      <c r="F11" s="319">
        <v>5</v>
      </c>
      <c r="G11" s="319">
        <v>5</v>
      </c>
      <c r="H11" s="319">
        <v>5</v>
      </c>
      <c r="I11" s="319">
        <v>8</v>
      </c>
      <c r="J11" s="319"/>
      <c r="K11" s="319"/>
      <c r="L11" s="319"/>
      <c r="M11" s="319"/>
      <c r="N11" s="319"/>
      <c r="O11" s="11">
        <f>AVERAGE(C11:N11)</f>
        <v>6</v>
      </c>
    </row>
    <row r="12" spans="1:17" s="5" customFormat="1">
      <c r="A12" s="11" t="s">
        <v>276</v>
      </c>
      <c r="C12" s="320">
        <v>1</v>
      </c>
      <c r="D12" s="320">
        <v>1</v>
      </c>
      <c r="E12" s="320">
        <v>3</v>
      </c>
      <c r="F12" s="320">
        <v>3</v>
      </c>
      <c r="G12" s="320">
        <v>3</v>
      </c>
      <c r="H12" s="320">
        <v>3</v>
      </c>
      <c r="I12" s="320">
        <v>3</v>
      </c>
      <c r="J12" s="320"/>
      <c r="K12" s="320"/>
      <c r="L12" s="320"/>
      <c r="M12" s="320"/>
      <c r="N12" s="320"/>
      <c r="O12" s="11">
        <f>AVERAGE(C12:N12)</f>
        <v>2.4285714285714284</v>
      </c>
    </row>
    <row r="13" spans="1:17" s="5" customFormat="1">
      <c r="A13" s="11" t="s">
        <v>277</v>
      </c>
      <c r="C13" s="320">
        <v>7</v>
      </c>
      <c r="D13" s="320">
        <v>7</v>
      </c>
      <c r="E13" s="320">
        <v>7</v>
      </c>
      <c r="F13" s="320">
        <v>7</v>
      </c>
      <c r="G13" s="320">
        <v>7</v>
      </c>
      <c r="H13" s="320">
        <v>7</v>
      </c>
      <c r="I13" s="320">
        <v>3</v>
      </c>
      <c r="J13" s="320"/>
      <c r="K13" s="320"/>
      <c r="L13" s="320"/>
      <c r="M13" s="320"/>
      <c r="N13" s="320"/>
      <c r="O13" s="11">
        <f t="shared" ref="O13:O41" si="1">AVERAGE(C13:N13)</f>
        <v>6.4285714285714288</v>
      </c>
    </row>
    <row r="14" spans="1:17" s="5" customFormat="1">
      <c r="A14" s="11" t="s">
        <v>278</v>
      </c>
      <c r="C14" s="320"/>
      <c r="D14" s="320"/>
      <c r="E14" s="320"/>
      <c r="F14" s="320"/>
      <c r="G14" s="320"/>
      <c r="H14" s="320"/>
      <c r="I14" s="320">
        <v>3</v>
      </c>
      <c r="J14" s="320"/>
      <c r="K14" s="320"/>
      <c r="L14" s="320"/>
      <c r="M14" s="320"/>
      <c r="N14" s="320"/>
      <c r="O14" s="11">
        <f t="shared" si="1"/>
        <v>3</v>
      </c>
    </row>
    <row r="15" spans="1:17" s="5" customFormat="1">
      <c r="A15" s="11" t="s">
        <v>279</v>
      </c>
      <c r="C15" s="320">
        <v>4</v>
      </c>
      <c r="D15" s="320">
        <v>4</v>
      </c>
      <c r="E15" s="320">
        <v>4</v>
      </c>
      <c r="F15" s="320">
        <v>4</v>
      </c>
      <c r="G15" s="320">
        <v>4</v>
      </c>
      <c r="H15" s="320">
        <v>4</v>
      </c>
      <c r="I15" s="320">
        <v>3</v>
      </c>
      <c r="J15" s="320"/>
      <c r="K15" s="320"/>
      <c r="L15" s="320"/>
      <c r="M15" s="320"/>
      <c r="N15" s="320"/>
      <c r="O15" s="11">
        <f t="shared" si="1"/>
        <v>3.8571428571428572</v>
      </c>
    </row>
    <row r="16" spans="1:17" s="5" customFormat="1">
      <c r="A16" s="11" t="s">
        <v>241</v>
      </c>
      <c r="C16" s="320">
        <v>1</v>
      </c>
      <c r="D16" s="320">
        <v>1</v>
      </c>
      <c r="E16" s="320">
        <v>1</v>
      </c>
      <c r="F16" s="320">
        <v>1</v>
      </c>
      <c r="G16" s="320">
        <v>1</v>
      </c>
      <c r="H16" s="320">
        <v>1</v>
      </c>
      <c r="I16" s="320">
        <v>1</v>
      </c>
      <c r="J16" s="320"/>
      <c r="K16" s="320"/>
      <c r="L16" s="320"/>
      <c r="M16" s="320"/>
      <c r="N16" s="320"/>
      <c r="O16" s="11">
        <f t="shared" si="1"/>
        <v>1</v>
      </c>
    </row>
    <row r="17" spans="1:17" s="5" customFormat="1">
      <c r="A17" s="11" t="s">
        <v>55</v>
      </c>
      <c r="C17" s="320"/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N17" s="320"/>
      <c r="O17" s="11" t="e">
        <f t="shared" si="1"/>
        <v>#DIV/0!</v>
      </c>
    </row>
    <row r="18" spans="1:17" s="5" customFormat="1">
      <c r="A18" s="11" t="s">
        <v>280</v>
      </c>
      <c r="C18" s="320"/>
      <c r="D18" s="320"/>
      <c r="E18" s="320"/>
      <c r="F18" s="320"/>
      <c r="G18" s="320"/>
      <c r="H18" s="320"/>
      <c r="I18" s="320"/>
      <c r="J18" s="320"/>
      <c r="K18" s="320"/>
      <c r="L18" s="320"/>
      <c r="M18" s="320"/>
      <c r="N18" s="320"/>
      <c r="O18" s="11" t="e">
        <f t="shared" si="1"/>
        <v>#DIV/0!</v>
      </c>
    </row>
    <row r="19" spans="1:17" s="5" customFormat="1">
      <c r="A19" s="11" t="s">
        <v>281</v>
      </c>
      <c r="C19" s="320">
        <v>1</v>
      </c>
      <c r="D19" s="320">
        <v>1</v>
      </c>
      <c r="E19" s="320">
        <v>1</v>
      </c>
      <c r="F19" s="320">
        <v>1</v>
      </c>
      <c r="G19" s="320">
        <v>1</v>
      </c>
      <c r="H19" s="320">
        <v>1</v>
      </c>
      <c r="I19" s="320"/>
      <c r="J19" s="320"/>
      <c r="K19" s="320"/>
      <c r="L19" s="320"/>
      <c r="M19" s="320"/>
      <c r="N19" s="320"/>
      <c r="O19" s="11">
        <f t="shared" si="1"/>
        <v>1</v>
      </c>
    </row>
    <row r="20" spans="1:17" s="5" customFormat="1">
      <c r="A20" s="30" t="s">
        <v>282</v>
      </c>
      <c r="C20" s="320"/>
      <c r="D20" s="320"/>
      <c r="E20" s="320"/>
      <c r="F20" s="320"/>
      <c r="G20" s="320"/>
      <c r="H20" s="320"/>
      <c r="I20" s="320"/>
      <c r="J20" s="320"/>
      <c r="K20" s="320"/>
      <c r="L20" s="320"/>
      <c r="M20" s="320"/>
      <c r="N20" s="320"/>
      <c r="O20" s="11" t="e">
        <f t="shared" si="1"/>
        <v>#DIV/0!</v>
      </c>
    </row>
    <row r="21" spans="1:17" s="5" customFormat="1">
      <c r="A21" s="11"/>
      <c r="C21" s="320"/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11" t="e">
        <f t="shared" si="1"/>
        <v>#DIV/0!</v>
      </c>
    </row>
    <row r="22" spans="1:17" s="5" customFormat="1">
      <c r="A22" s="31" t="s">
        <v>283</v>
      </c>
      <c r="B22" s="211"/>
      <c r="C22" s="28"/>
      <c r="D22" s="28"/>
      <c r="E22" s="28"/>
      <c r="F22" s="207"/>
      <c r="G22" s="207"/>
      <c r="H22" s="28"/>
      <c r="I22" s="28"/>
      <c r="J22" s="28"/>
      <c r="K22" s="28"/>
      <c r="L22" s="28"/>
      <c r="M22" s="207"/>
      <c r="N22" s="209"/>
      <c r="O22" s="11"/>
    </row>
    <row r="23" spans="1:17" s="5" customFormat="1">
      <c r="A23" s="11" t="s">
        <v>284</v>
      </c>
      <c r="C23" s="320"/>
      <c r="D23" s="320"/>
      <c r="E23" s="320"/>
      <c r="F23" s="330"/>
      <c r="G23" s="330"/>
      <c r="H23" s="320"/>
      <c r="I23" s="320"/>
      <c r="J23" s="320"/>
      <c r="K23" s="320"/>
      <c r="L23" s="320"/>
      <c r="M23" s="330"/>
      <c r="N23" s="331"/>
      <c r="O23" s="11" t="e">
        <f t="shared" si="1"/>
        <v>#DIV/0!</v>
      </c>
    </row>
    <row r="24" spans="1:17" s="5" customFormat="1">
      <c r="A24" s="11" t="s">
        <v>285</v>
      </c>
      <c r="C24" s="320"/>
      <c r="D24" s="320"/>
      <c r="E24" s="320"/>
      <c r="F24" s="330"/>
      <c r="G24" s="330"/>
      <c r="H24" s="320"/>
      <c r="I24" s="320"/>
      <c r="J24" s="320"/>
      <c r="K24" s="320"/>
      <c r="L24" s="320"/>
      <c r="M24" s="330"/>
      <c r="N24" s="331"/>
      <c r="O24" s="11" t="e">
        <f t="shared" si="1"/>
        <v>#DIV/0!</v>
      </c>
    </row>
    <row r="25" spans="1:17" s="5" customFormat="1">
      <c r="A25" s="11" t="s">
        <v>286</v>
      </c>
      <c r="C25" s="320"/>
      <c r="D25" s="320"/>
      <c r="E25" s="320"/>
      <c r="F25" s="330"/>
      <c r="G25" s="330"/>
      <c r="H25" s="320"/>
      <c r="I25" s="320"/>
      <c r="J25" s="320"/>
      <c r="K25" s="320"/>
      <c r="L25" s="320"/>
      <c r="M25" s="330"/>
      <c r="N25" s="331"/>
      <c r="O25" s="11" t="e">
        <f t="shared" si="1"/>
        <v>#DIV/0!</v>
      </c>
    </row>
    <row r="26" spans="1:17" s="5" customFormat="1">
      <c r="A26" s="11" t="s">
        <v>287</v>
      </c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31"/>
      <c r="O26" s="11" t="e">
        <f t="shared" si="1"/>
        <v>#DIV/0!</v>
      </c>
    </row>
    <row r="27" spans="1:17" s="5" customFormat="1">
      <c r="A27" s="11" t="s">
        <v>288</v>
      </c>
      <c r="C27" s="320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31"/>
      <c r="O27" s="11" t="e">
        <f t="shared" si="1"/>
        <v>#DIV/0!</v>
      </c>
    </row>
    <row r="28" spans="1:17" s="5" customFormat="1">
      <c r="A28" s="210" t="s">
        <v>289</v>
      </c>
      <c r="B28" s="155"/>
      <c r="C28" s="330"/>
      <c r="D28" s="330"/>
      <c r="E28" s="332"/>
      <c r="F28" s="330"/>
      <c r="G28" s="330"/>
      <c r="H28" s="330"/>
      <c r="I28" s="330"/>
      <c r="J28" s="330"/>
      <c r="K28" s="330"/>
      <c r="L28" s="320"/>
      <c r="M28" s="330"/>
      <c r="N28" s="333"/>
      <c r="O28" s="11" t="e">
        <f t="shared" si="1"/>
        <v>#DIV/0!</v>
      </c>
      <c r="P28" s="155"/>
      <c r="Q28" s="155"/>
    </row>
    <row r="29" spans="1:17" s="5" customFormat="1">
      <c r="A29" s="30" t="s">
        <v>290</v>
      </c>
      <c r="C29" s="320"/>
      <c r="D29" s="320"/>
      <c r="E29" s="320"/>
      <c r="F29" s="334"/>
      <c r="G29" s="334"/>
      <c r="H29" s="320"/>
      <c r="I29" s="320"/>
      <c r="J29" s="320"/>
      <c r="K29" s="320"/>
      <c r="L29" s="320"/>
      <c r="M29" s="334"/>
      <c r="N29" s="331"/>
      <c r="O29" s="11" t="e">
        <f t="shared" si="1"/>
        <v>#DIV/0!</v>
      </c>
    </row>
    <row r="30" spans="1:17" s="5" customFormat="1">
      <c r="A30" s="11" t="s">
        <v>291</v>
      </c>
      <c r="C30" s="320"/>
      <c r="D30" s="320"/>
      <c r="E30" s="320"/>
      <c r="F30" s="330"/>
      <c r="G30" s="330"/>
      <c r="H30" s="320"/>
      <c r="I30" s="320"/>
      <c r="J30" s="320"/>
      <c r="K30" s="320"/>
      <c r="L30" s="320"/>
      <c r="M30" s="330"/>
      <c r="N30" s="331"/>
      <c r="O30" s="11" t="e">
        <f t="shared" si="1"/>
        <v>#DIV/0!</v>
      </c>
    </row>
    <row r="31" spans="1:17" s="5" customFormat="1">
      <c r="A31" s="29"/>
      <c r="B31" s="144"/>
      <c r="C31" s="335"/>
      <c r="D31" s="335"/>
      <c r="E31" s="335"/>
      <c r="F31" s="336"/>
      <c r="G31" s="336"/>
      <c r="H31" s="335"/>
      <c r="I31" s="335"/>
      <c r="J31" s="335"/>
      <c r="K31" s="335"/>
      <c r="L31" s="335"/>
      <c r="M31" s="336"/>
      <c r="N31" s="337"/>
      <c r="O31" s="11" t="e">
        <f t="shared" si="1"/>
        <v>#DIV/0!</v>
      </c>
    </row>
    <row r="32" spans="1:17" s="5" customFormat="1">
      <c r="A32" s="31" t="s">
        <v>368</v>
      </c>
      <c r="B32" s="211"/>
      <c r="C32" s="28"/>
      <c r="D32" s="28"/>
      <c r="E32" s="28"/>
      <c r="F32" s="207"/>
      <c r="G32" s="207"/>
      <c r="H32" s="28"/>
      <c r="I32" s="28"/>
      <c r="J32" s="28"/>
      <c r="K32" s="28"/>
      <c r="L32" s="28"/>
      <c r="M32" s="207"/>
      <c r="N32" s="209"/>
      <c r="O32" s="11"/>
    </row>
    <row r="33" spans="1:19" s="5" customFormat="1">
      <c r="A33" s="344" t="s">
        <v>95</v>
      </c>
      <c r="C33" s="320"/>
      <c r="D33" s="320"/>
      <c r="E33" s="320"/>
      <c r="F33" s="330"/>
      <c r="G33" s="330"/>
      <c r="H33" s="320"/>
      <c r="I33" s="320"/>
      <c r="J33" s="320"/>
      <c r="K33" s="320"/>
      <c r="L33" s="320"/>
      <c r="M33" s="330"/>
      <c r="N33" s="331"/>
      <c r="O33" s="11" t="e">
        <f t="shared" si="1"/>
        <v>#DIV/0!</v>
      </c>
    </row>
    <row r="34" spans="1:19" s="5" customFormat="1">
      <c r="A34" s="344" t="s">
        <v>96</v>
      </c>
      <c r="C34" s="320"/>
      <c r="D34" s="320"/>
      <c r="E34" s="320"/>
      <c r="F34" s="330"/>
      <c r="G34" s="330"/>
      <c r="H34" s="320"/>
      <c r="I34" s="320"/>
      <c r="J34" s="320"/>
      <c r="K34" s="320"/>
      <c r="L34" s="320"/>
      <c r="M34" s="330"/>
      <c r="N34" s="331"/>
      <c r="O34" s="11" t="e">
        <f t="shared" si="1"/>
        <v>#DIV/0!</v>
      </c>
    </row>
    <row r="35" spans="1:19" s="5" customFormat="1">
      <c r="A35" s="344" t="s">
        <v>97</v>
      </c>
      <c r="C35" s="320"/>
      <c r="D35" s="320"/>
      <c r="E35" s="320"/>
      <c r="F35" s="330"/>
      <c r="G35" s="330"/>
      <c r="H35" s="320"/>
      <c r="I35" s="320"/>
      <c r="J35" s="320"/>
      <c r="K35" s="320"/>
      <c r="L35" s="320"/>
      <c r="M35" s="330"/>
      <c r="N35" s="331"/>
      <c r="O35" s="11" t="e">
        <f t="shared" si="1"/>
        <v>#DIV/0!</v>
      </c>
    </row>
    <row r="36" spans="1:19" s="5" customFormat="1">
      <c r="A36" s="344" t="s">
        <v>98</v>
      </c>
      <c r="C36" s="320"/>
      <c r="D36" s="320"/>
      <c r="E36" s="320"/>
      <c r="F36" s="320"/>
      <c r="G36" s="320"/>
      <c r="H36" s="320"/>
      <c r="I36" s="320"/>
      <c r="J36" s="320"/>
      <c r="K36" s="320"/>
      <c r="L36" s="320"/>
      <c r="M36" s="320"/>
      <c r="N36" s="331"/>
      <c r="O36" s="11" t="e">
        <f t="shared" si="1"/>
        <v>#DIV/0!</v>
      </c>
    </row>
    <row r="37" spans="1:19" s="5" customFormat="1">
      <c r="A37" s="344" t="s">
        <v>99</v>
      </c>
      <c r="C37" s="320"/>
      <c r="D37" s="320"/>
      <c r="E37" s="320"/>
      <c r="F37" s="320"/>
      <c r="G37" s="320"/>
      <c r="H37" s="320"/>
      <c r="I37" s="320"/>
      <c r="J37" s="320"/>
      <c r="K37" s="320"/>
      <c r="L37" s="320"/>
      <c r="M37" s="320"/>
      <c r="N37" s="331"/>
      <c r="O37" s="11" t="e">
        <f t="shared" si="1"/>
        <v>#DIV/0!</v>
      </c>
    </row>
    <row r="38" spans="1:19" s="5" customFormat="1">
      <c r="A38" s="210"/>
      <c r="B38" s="155"/>
      <c r="C38" s="330"/>
      <c r="D38" s="330"/>
      <c r="E38" s="332"/>
      <c r="F38" s="330"/>
      <c r="G38" s="330"/>
      <c r="H38" s="330"/>
      <c r="I38" s="330"/>
      <c r="J38" s="330"/>
      <c r="K38" s="330"/>
      <c r="L38" s="320"/>
      <c r="M38" s="330"/>
      <c r="N38" s="333"/>
      <c r="O38" s="11" t="e">
        <f t="shared" si="1"/>
        <v>#DIV/0!</v>
      </c>
    </row>
    <row r="39" spans="1:19" s="5" customFormat="1">
      <c r="A39" s="30"/>
      <c r="C39" s="320"/>
      <c r="D39" s="320"/>
      <c r="E39" s="320"/>
      <c r="F39" s="334"/>
      <c r="G39" s="334"/>
      <c r="H39" s="320"/>
      <c r="I39" s="320"/>
      <c r="J39" s="320"/>
      <c r="K39" s="320"/>
      <c r="L39" s="320"/>
      <c r="M39" s="334"/>
      <c r="N39" s="331"/>
      <c r="O39" s="11" t="e">
        <f t="shared" si="1"/>
        <v>#DIV/0!</v>
      </c>
    </row>
    <row r="40" spans="1:19" s="5" customFormat="1">
      <c r="A40" s="11"/>
      <c r="C40" s="320"/>
      <c r="D40" s="320"/>
      <c r="E40" s="320"/>
      <c r="F40" s="330"/>
      <c r="G40" s="330"/>
      <c r="H40" s="320"/>
      <c r="I40" s="320"/>
      <c r="J40" s="320"/>
      <c r="K40" s="320"/>
      <c r="L40" s="320"/>
      <c r="M40" s="330"/>
      <c r="N40" s="331"/>
      <c r="O40" s="11" t="e">
        <f t="shared" si="1"/>
        <v>#DIV/0!</v>
      </c>
    </row>
    <row r="41" spans="1:19" s="5" customFormat="1">
      <c r="A41" s="29"/>
      <c r="B41" s="144"/>
      <c r="C41" s="335"/>
      <c r="D41" s="335"/>
      <c r="E41" s="335"/>
      <c r="F41" s="336"/>
      <c r="G41" s="336"/>
      <c r="H41" s="335"/>
      <c r="I41" s="335"/>
      <c r="J41" s="335"/>
      <c r="K41" s="335"/>
      <c r="L41" s="335"/>
      <c r="M41" s="336"/>
      <c r="N41" s="337"/>
      <c r="O41" s="11" t="e">
        <f t="shared" si="1"/>
        <v>#DIV/0!</v>
      </c>
    </row>
    <row r="42" spans="1:19" s="5" customFormat="1">
      <c r="G42" s="535"/>
      <c r="H42" s="535"/>
      <c r="N42" s="535"/>
      <c r="O42" s="535"/>
    </row>
    <row r="43" spans="1:19" s="5" customFormat="1">
      <c r="G43" s="535"/>
      <c r="H43" s="535"/>
      <c r="N43" s="535"/>
      <c r="O43" s="535"/>
    </row>
    <row r="44" spans="1:19" s="5" customFormat="1"/>
    <row r="45" spans="1:19" s="5" customFormat="1"/>
    <row r="46" spans="1:19" s="5" customFormat="1">
      <c r="A46" s="535"/>
      <c r="B46" s="535"/>
      <c r="C46" s="535"/>
      <c r="D46" s="535"/>
      <c r="E46" s="535"/>
      <c r="F46" s="153"/>
      <c r="G46" s="535"/>
      <c r="H46" s="535"/>
      <c r="I46" s="535"/>
      <c r="J46" s="535"/>
      <c r="K46" s="535"/>
      <c r="L46" s="535"/>
      <c r="N46" s="535"/>
      <c r="O46" s="535"/>
      <c r="P46" s="535"/>
      <c r="Q46" s="535"/>
      <c r="R46" s="535"/>
      <c r="S46" s="535"/>
    </row>
    <row r="47" spans="1:19" s="5" customFormat="1">
      <c r="A47" s="10"/>
      <c r="G47" s="536"/>
      <c r="H47" s="536"/>
      <c r="N47" s="536"/>
      <c r="O47" s="536"/>
    </row>
    <row r="48" spans="1:19" s="5" customFormat="1">
      <c r="G48" s="535"/>
      <c r="H48" s="535"/>
      <c r="N48" s="535"/>
      <c r="O48" s="535"/>
    </row>
    <row r="49" spans="1:19" s="5" customFormat="1">
      <c r="G49" s="535"/>
      <c r="H49" s="535"/>
      <c r="N49" s="535"/>
      <c r="O49" s="535"/>
    </row>
    <row r="50" spans="1:19" s="5" customFormat="1">
      <c r="G50" s="535"/>
      <c r="H50" s="535"/>
      <c r="N50" s="535"/>
      <c r="O50" s="535"/>
    </row>
    <row r="51" spans="1:19" s="5" customFormat="1">
      <c r="G51" s="535"/>
      <c r="H51" s="535"/>
      <c r="N51" s="535"/>
      <c r="O51" s="535"/>
    </row>
    <row r="52" spans="1:19" s="5" customFormat="1">
      <c r="G52" s="535"/>
      <c r="H52" s="535"/>
      <c r="N52" s="535"/>
      <c r="O52" s="535"/>
    </row>
    <row r="53" spans="1:19" s="5" customFormat="1">
      <c r="G53" s="535"/>
      <c r="H53" s="535"/>
      <c r="N53" s="535"/>
      <c r="O53" s="535"/>
    </row>
    <row r="54" spans="1:19" s="5" customFormat="1">
      <c r="G54" s="535"/>
      <c r="H54" s="535"/>
      <c r="N54" s="535"/>
      <c r="O54" s="535"/>
    </row>
    <row r="55" spans="1:19" s="5" customFormat="1">
      <c r="G55" s="535"/>
      <c r="H55" s="535"/>
      <c r="N55" s="535"/>
      <c r="O55" s="535"/>
    </row>
    <row r="56" spans="1:19" s="5" customFormat="1">
      <c r="A56" s="154"/>
      <c r="G56" s="537"/>
      <c r="H56" s="537"/>
      <c r="N56" s="537"/>
      <c r="O56" s="537"/>
    </row>
    <row r="57" spans="1:19" s="5" customFormat="1">
      <c r="G57" s="535"/>
      <c r="H57" s="535"/>
      <c r="N57" s="535"/>
      <c r="O57" s="535"/>
    </row>
    <row r="58" spans="1:19" s="5" customFormat="1">
      <c r="G58" s="535"/>
      <c r="H58" s="535"/>
      <c r="N58" s="535"/>
      <c r="O58" s="535"/>
    </row>
    <row r="59" spans="1:19" s="5" customFormat="1">
      <c r="G59" s="535"/>
      <c r="H59" s="535"/>
      <c r="N59" s="535"/>
      <c r="O59" s="535"/>
    </row>
    <row r="60" spans="1:19" s="5" customFormat="1">
      <c r="G60" s="535"/>
      <c r="H60" s="535"/>
      <c r="N60" s="535"/>
      <c r="O60" s="535"/>
    </row>
    <row r="61" spans="1:19" s="5" customFormat="1">
      <c r="G61" s="535"/>
      <c r="H61" s="535"/>
      <c r="N61" s="535"/>
      <c r="O61" s="535"/>
    </row>
    <row r="62" spans="1:19" s="5" customFormat="1"/>
    <row r="63" spans="1:19" s="5" customFormat="1"/>
    <row r="64" spans="1:19" s="5" customFormat="1">
      <c r="A64" s="535"/>
      <c r="B64" s="535"/>
      <c r="C64" s="535"/>
      <c r="D64" s="535"/>
      <c r="E64" s="535"/>
      <c r="F64" s="153"/>
      <c r="G64" s="535"/>
      <c r="H64" s="535"/>
      <c r="I64" s="535"/>
      <c r="J64" s="535"/>
      <c r="K64" s="535"/>
      <c r="L64" s="535"/>
      <c r="N64" s="535"/>
      <c r="O64" s="535"/>
      <c r="P64" s="535"/>
      <c r="Q64" s="535"/>
      <c r="R64" s="535"/>
      <c r="S64" s="535"/>
    </row>
    <row r="65" spans="1:15" s="5" customFormat="1">
      <c r="A65" s="10"/>
      <c r="G65" s="536"/>
      <c r="H65" s="536"/>
      <c r="N65" s="536"/>
      <c r="O65" s="536"/>
    </row>
    <row r="66" spans="1:15" s="5" customFormat="1">
      <c r="G66" s="535"/>
      <c r="H66" s="535"/>
      <c r="N66" s="535"/>
      <c r="O66" s="535"/>
    </row>
    <row r="67" spans="1:15" s="5" customFormat="1">
      <c r="G67" s="535"/>
      <c r="H67" s="535"/>
      <c r="N67" s="535"/>
      <c r="O67" s="535"/>
    </row>
    <row r="68" spans="1:15" s="5" customFormat="1">
      <c r="G68" s="535"/>
      <c r="H68" s="535"/>
      <c r="N68" s="535"/>
      <c r="O68" s="535"/>
    </row>
    <row r="69" spans="1:15" s="5" customFormat="1">
      <c r="G69" s="535"/>
      <c r="H69" s="535"/>
      <c r="N69" s="535"/>
      <c r="O69" s="535"/>
    </row>
    <row r="70" spans="1:15" s="5" customFormat="1">
      <c r="G70" s="535"/>
      <c r="H70" s="535"/>
      <c r="N70" s="535"/>
      <c r="O70" s="535"/>
    </row>
    <row r="71" spans="1:15" s="5" customFormat="1">
      <c r="G71" s="535"/>
      <c r="H71" s="535"/>
      <c r="N71" s="535"/>
      <c r="O71" s="535"/>
    </row>
    <row r="72" spans="1:15" s="5" customFormat="1">
      <c r="G72" s="535"/>
      <c r="H72" s="535"/>
      <c r="N72" s="535"/>
      <c r="O72" s="535"/>
    </row>
    <row r="73" spans="1:15" s="5" customFormat="1">
      <c r="G73" s="535"/>
      <c r="H73" s="535"/>
      <c r="N73" s="535"/>
      <c r="O73" s="535"/>
    </row>
    <row r="74" spans="1:15" s="5" customFormat="1">
      <c r="A74" s="154"/>
      <c r="G74" s="537"/>
      <c r="H74" s="537"/>
      <c r="N74" s="537"/>
      <c r="O74" s="537"/>
    </row>
    <row r="75" spans="1:15" s="5" customFormat="1">
      <c r="G75" s="535"/>
      <c r="H75" s="535"/>
      <c r="N75" s="535"/>
      <c r="O75" s="535"/>
    </row>
    <row r="76" spans="1:15" s="5" customFormat="1">
      <c r="G76" s="535"/>
      <c r="H76" s="535"/>
      <c r="N76" s="535"/>
      <c r="O76" s="535"/>
    </row>
    <row r="77" spans="1:15" s="5" customFormat="1">
      <c r="G77" s="535"/>
      <c r="H77" s="535"/>
      <c r="N77" s="535"/>
      <c r="O77" s="535"/>
    </row>
    <row r="78" spans="1:15" s="5" customFormat="1">
      <c r="G78" s="535"/>
      <c r="H78" s="535"/>
      <c r="N78" s="535"/>
      <c r="O78" s="535"/>
    </row>
    <row r="79" spans="1:15" s="5" customFormat="1">
      <c r="G79" s="535"/>
      <c r="H79" s="535"/>
      <c r="N79" s="535"/>
      <c r="O79" s="535"/>
    </row>
    <row r="80" spans="1:15" s="5" customFormat="1"/>
    <row r="81" spans="1:12" s="5" customFormat="1"/>
    <row r="82" spans="1:12" s="5" customFormat="1">
      <c r="A82" s="155"/>
      <c r="B82" s="155"/>
      <c r="C82" s="155"/>
      <c r="D82" s="155"/>
      <c r="E82" s="155"/>
      <c r="F82" s="153"/>
      <c r="G82" s="155"/>
      <c r="H82" s="155"/>
      <c r="I82" s="155"/>
      <c r="J82" s="155"/>
      <c r="K82" s="155"/>
      <c r="L82" s="155"/>
    </row>
    <row r="83" spans="1:12" s="5" customFormat="1">
      <c r="A83" s="10"/>
      <c r="G83" s="8"/>
      <c r="H83" s="8"/>
    </row>
    <row r="84" spans="1:12" s="5" customFormat="1">
      <c r="G84" s="155"/>
      <c r="H84" s="155"/>
    </row>
    <row r="85" spans="1:12" s="5" customFormat="1">
      <c r="G85" s="155"/>
      <c r="H85" s="155"/>
    </row>
    <row r="86" spans="1:12" s="5" customFormat="1">
      <c r="G86" s="155"/>
      <c r="H86" s="155"/>
    </row>
    <row r="87" spans="1:12" s="5" customFormat="1">
      <c r="G87" s="155"/>
      <c r="H87" s="155"/>
    </row>
    <row r="88" spans="1:12" s="5" customFormat="1">
      <c r="G88" s="155"/>
      <c r="H88" s="155"/>
    </row>
    <row r="89" spans="1:12" s="5" customFormat="1">
      <c r="G89" s="155"/>
      <c r="H89" s="155"/>
    </row>
    <row r="90" spans="1:12" s="5" customFormat="1">
      <c r="G90" s="155"/>
      <c r="H90" s="155"/>
    </row>
    <row r="91" spans="1:12" s="5" customFormat="1">
      <c r="G91" s="155"/>
      <c r="H91" s="155"/>
    </row>
    <row r="92" spans="1:12" s="5" customFormat="1">
      <c r="A92" s="154"/>
      <c r="G92" s="156"/>
      <c r="H92" s="156"/>
    </row>
    <row r="93" spans="1:12" s="5" customFormat="1">
      <c r="G93" s="155"/>
      <c r="H93" s="155"/>
    </row>
    <row r="94" spans="1:12" s="5" customFormat="1">
      <c r="G94" s="155"/>
      <c r="H94" s="155"/>
    </row>
    <row r="95" spans="1:12" s="5" customFormat="1">
      <c r="G95" s="155"/>
      <c r="H95" s="155"/>
    </row>
    <row r="96" spans="1:12" s="5" customFormat="1">
      <c r="G96" s="155"/>
      <c r="H96" s="155"/>
    </row>
    <row r="97" spans="1:12" s="5" customFormat="1">
      <c r="G97" s="155"/>
      <c r="H97" s="155"/>
    </row>
    <row r="98" spans="1:12" s="5" customFormat="1"/>
    <row r="99" spans="1:12" s="5" customFormat="1"/>
    <row r="100" spans="1:12" s="5" customFormat="1">
      <c r="A100" s="535"/>
      <c r="B100" s="535"/>
      <c r="C100" s="535"/>
      <c r="D100" s="535"/>
      <c r="E100" s="535"/>
      <c r="F100" s="153"/>
      <c r="G100" s="535"/>
      <c r="H100" s="535"/>
      <c r="I100" s="535"/>
      <c r="J100" s="535"/>
      <c r="K100" s="535"/>
      <c r="L100" s="535"/>
    </row>
    <row r="101" spans="1:12" s="5" customFormat="1">
      <c r="A101" s="10"/>
      <c r="G101" s="536"/>
      <c r="H101" s="536"/>
    </row>
    <row r="102" spans="1:12" s="5" customFormat="1">
      <c r="G102" s="535"/>
      <c r="H102" s="535"/>
    </row>
    <row r="103" spans="1:12" s="5" customFormat="1">
      <c r="G103" s="535"/>
      <c r="H103" s="535"/>
    </row>
    <row r="104" spans="1:12" s="5" customFormat="1">
      <c r="G104" s="535"/>
      <c r="H104" s="535"/>
    </row>
    <row r="105" spans="1:12" s="5" customFormat="1">
      <c r="G105" s="535"/>
      <c r="H105" s="535"/>
    </row>
    <row r="106" spans="1:12" s="5" customFormat="1">
      <c r="G106" s="535"/>
      <c r="H106" s="535"/>
    </row>
    <row r="107" spans="1:12" s="5" customFormat="1">
      <c r="G107" s="535"/>
      <c r="H107" s="535"/>
    </row>
    <row r="108" spans="1:12" s="5" customFormat="1">
      <c r="G108" s="535"/>
      <c r="H108" s="535"/>
    </row>
    <row r="109" spans="1:12" s="5" customFormat="1">
      <c r="G109" s="535"/>
      <c r="H109" s="535"/>
    </row>
    <row r="110" spans="1:12" s="5" customFormat="1">
      <c r="A110" s="154"/>
      <c r="G110" s="537"/>
      <c r="H110" s="537"/>
    </row>
    <row r="111" spans="1:12" s="5" customFormat="1">
      <c r="G111" s="535"/>
      <c r="H111" s="535"/>
    </row>
    <row r="112" spans="1:12" s="5" customFormat="1">
      <c r="G112" s="535"/>
      <c r="H112" s="535"/>
    </row>
    <row r="113" spans="1:12" s="5" customFormat="1">
      <c r="G113" s="535"/>
      <c r="H113" s="535"/>
    </row>
    <row r="114" spans="1:12" s="5" customFormat="1">
      <c r="G114" s="535"/>
      <c r="H114" s="535"/>
    </row>
    <row r="115" spans="1:12" s="5" customFormat="1">
      <c r="G115" s="535"/>
      <c r="H115" s="535"/>
    </row>
    <row r="116" spans="1:12" s="5" customFormat="1"/>
    <row r="117" spans="1:12" s="5" customFormat="1"/>
    <row r="118" spans="1:12" s="5" customFormat="1">
      <c r="A118" s="535"/>
      <c r="B118" s="535"/>
      <c r="C118" s="535"/>
      <c r="D118" s="535"/>
      <c r="E118" s="535"/>
      <c r="F118" s="153"/>
      <c r="G118" s="535"/>
      <c r="H118" s="535"/>
      <c r="I118" s="535"/>
      <c r="J118" s="535"/>
      <c r="K118" s="535"/>
      <c r="L118" s="535"/>
    </row>
    <row r="119" spans="1:12" s="5" customFormat="1">
      <c r="A119" s="10"/>
      <c r="G119" s="536"/>
      <c r="H119" s="536"/>
    </row>
    <row r="120" spans="1:12" s="5" customFormat="1">
      <c r="G120" s="535"/>
      <c r="H120" s="535"/>
    </row>
    <row r="121" spans="1:12" s="5" customFormat="1">
      <c r="G121" s="535"/>
      <c r="H121" s="535"/>
    </row>
    <row r="122" spans="1:12" s="5" customFormat="1">
      <c r="G122" s="535"/>
      <c r="H122" s="535"/>
    </row>
    <row r="123" spans="1:12" s="5" customFormat="1">
      <c r="G123" s="535"/>
      <c r="H123" s="535"/>
    </row>
    <row r="124" spans="1:12" s="5" customFormat="1">
      <c r="G124" s="535"/>
      <c r="H124" s="535"/>
    </row>
    <row r="125" spans="1:12" s="5" customFormat="1">
      <c r="G125" s="535"/>
      <c r="H125" s="535"/>
    </row>
    <row r="126" spans="1:12" s="5" customFormat="1">
      <c r="G126" s="535"/>
      <c r="H126" s="535"/>
    </row>
    <row r="127" spans="1:12" s="5" customFormat="1">
      <c r="G127" s="535"/>
      <c r="H127" s="535"/>
    </row>
    <row r="128" spans="1:12" s="5" customFormat="1">
      <c r="A128" s="154"/>
      <c r="G128" s="537"/>
      <c r="H128" s="537"/>
    </row>
    <row r="129" spans="1:13" s="5" customFormat="1">
      <c r="G129" s="535"/>
      <c r="H129" s="535"/>
    </row>
    <row r="130" spans="1:13" s="5" customFormat="1">
      <c r="G130" s="535"/>
      <c r="H130" s="535"/>
    </row>
    <row r="131" spans="1:13">
      <c r="A131" s="5"/>
      <c r="B131" s="5"/>
      <c r="C131" s="5"/>
      <c r="D131" s="5"/>
      <c r="E131" s="5"/>
      <c r="F131" s="5"/>
      <c r="G131" s="535"/>
      <c r="H131" s="535"/>
      <c r="I131" s="5"/>
      <c r="J131" s="5"/>
      <c r="K131" s="5"/>
      <c r="L131" s="5"/>
      <c r="M131" s="5"/>
    </row>
    <row r="132" spans="1:13">
      <c r="A132" s="5"/>
      <c r="B132" s="5"/>
      <c r="C132" s="5"/>
      <c r="D132" s="5"/>
      <c r="E132" s="5"/>
      <c r="F132" s="5"/>
      <c r="G132" s="535"/>
      <c r="H132" s="535"/>
      <c r="I132" s="5"/>
      <c r="J132" s="5"/>
      <c r="K132" s="5"/>
      <c r="L132" s="5"/>
      <c r="M132" s="5"/>
    </row>
    <row r="133" spans="1:13">
      <c r="A133" s="5"/>
      <c r="B133" s="5"/>
      <c r="C133" s="5"/>
      <c r="D133" s="5"/>
      <c r="E133" s="5"/>
      <c r="F133" s="5"/>
      <c r="G133" s="535"/>
      <c r="H133" s="535"/>
      <c r="I133" s="5"/>
      <c r="J133" s="5"/>
      <c r="K133" s="5"/>
      <c r="L133" s="5"/>
      <c r="M133" s="5"/>
    </row>
    <row r="134" spans="1:1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>
      <c r="A136" s="535"/>
      <c r="B136" s="535"/>
      <c r="C136" s="535"/>
      <c r="D136" s="535"/>
      <c r="E136" s="535"/>
      <c r="F136" s="153"/>
      <c r="G136" s="535"/>
      <c r="H136" s="535"/>
      <c r="I136" s="535"/>
      <c r="J136" s="535"/>
      <c r="K136" s="535"/>
      <c r="L136" s="535"/>
      <c r="M136" s="5"/>
    </row>
    <row r="137" spans="1:13">
      <c r="A137" s="10"/>
      <c r="B137" s="5"/>
      <c r="C137" s="5"/>
      <c r="D137" s="5"/>
      <c r="E137" s="5"/>
      <c r="F137" s="5"/>
      <c r="G137" s="536"/>
      <c r="H137" s="536"/>
      <c r="I137" s="5"/>
      <c r="J137" s="5"/>
      <c r="K137" s="5"/>
      <c r="L137" s="5"/>
      <c r="M137" s="5"/>
    </row>
    <row r="138" spans="1:13">
      <c r="A138" s="5"/>
      <c r="B138" s="5"/>
      <c r="C138" s="5"/>
      <c r="D138" s="5"/>
      <c r="E138" s="5"/>
      <c r="F138" s="5"/>
      <c r="G138" s="535"/>
      <c r="H138" s="535"/>
      <c r="I138" s="5"/>
      <c r="J138" s="5"/>
      <c r="K138" s="5"/>
      <c r="L138" s="5"/>
      <c r="M138" s="5"/>
    </row>
    <row r="139" spans="1:13">
      <c r="A139" s="5"/>
      <c r="B139" s="5"/>
      <c r="C139" s="5"/>
      <c r="D139" s="5"/>
      <c r="E139" s="5"/>
      <c r="F139" s="5"/>
      <c r="G139" s="535"/>
      <c r="H139" s="535"/>
      <c r="I139" s="5"/>
      <c r="J139" s="5"/>
      <c r="K139" s="5"/>
      <c r="L139" s="5"/>
      <c r="M139" s="5"/>
    </row>
    <row r="140" spans="1:13">
      <c r="A140" s="5"/>
      <c r="B140" s="5"/>
      <c r="C140" s="5"/>
      <c r="D140" s="5"/>
      <c r="E140" s="5"/>
      <c r="F140" s="5"/>
      <c r="G140" s="535"/>
      <c r="H140" s="535"/>
      <c r="I140" s="5"/>
      <c r="J140" s="5"/>
      <c r="K140" s="5"/>
      <c r="L140" s="5"/>
      <c r="M140" s="5"/>
    </row>
    <row r="141" spans="1:13">
      <c r="A141" s="5"/>
      <c r="B141" s="5"/>
      <c r="C141" s="5"/>
      <c r="D141" s="5"/>
      <c r="E141" s="5"/>
      <c r="F141" s="5"/>
      <c r="G141" s="535"/>
      <c r="H141" s="535"/>
      <c r="I141" s="5"/>
      <c r="J141" s="5"/>
      <c r="K141" s="5"/>
      <c r="L141" s="5"/>
      <c r="M141" s="5"/>
    </row>
    <row r="142" spans="1:13">
      <c r="A142" s="5"/>
      <c r="B142" s="5"/>
      <c r="C142" s="5"/>
      <c r="D142" s="5"/>
      <c r="E142" s="5"/>
      <c r="F142" s="5"/>
      <c r="G142" s="535"/>
      <c r="H142" s="535"/>
      <c r="I142" s="5"/>
      <c r="J142" s="5"/>
      <c r="K142" s="5"/>
      <c r="L142" s="5"/>
      <c r="M142" s="5"/>
    </row>
    <row r="143" spans="1:13">
      <c r="A143" s="5"/>
      <c r="B143" s="5"/>
      <c r="C143" s="5"/>
      <c r="D143" s="5"/>
      <c r="E143" s="5"/>
      <c r="F143" s="5"/>
      <c r="G143" s="535"/>
      <c r="H143" s="535"/>
      <c r="I143" s="5"/>
      <c r="J143" s="5"/>
      <c r="K143" s="5"/>
      <c r="L143" s="5"/>
      <c r="M143" s="5"/>
    </row>
    <row r="144" spans="1:13">
      <c r="A144" s="5"/>
      <c r="B144" s="5"/>
      <c r="C144" s="5"/>
      <c r="D144" s="5"/>
      <c r="E144" s="5"/>
      <c r="F144" s="5"/>
      <c r="G144" s="535"/>
      <c r="H144" s="535"/>
      <c r="I144" s="5"/>
      <c r="J144" s="5"/>
      <c r="K144" s="5"/>
      <c r="L144" s="5"/>
      <c r="M144" s="5"/>
    </row>
    <row r="145" spans="1:13">
      <c r="A145" s="5"/>
      <c r="B145" s="5"/>
      <c r="C145" s="5"/>
      <c r="D145" s="5"/>
      <c r="E145" s="5"/>
      <c r="F145" s="5"/>
      <c r="G145" s="535"/>
      <c r="H145" s="535"/>
      <c r="I145" s="5"/>
      <c r="J145" s="5"/>
      <c r="K145" s="5"/>
      <c r="L145" s="5"/>
      <c r="M145" s="5"/>
    </row>
    <row r="146" spans="1:13">
      <c r="A146" s="154"/>
      <c r="B146" s="5"/>
      <c r="C146" s="5"/>
      <c r="D146" s="5"/>
      <c r="E146" s="5"/>
      <c r="F146" s="5"/>
      <c r="G146" s="537"/>
      <c r="H146" s="537"/>
      <c r="I146" s="5"/>
      <c r="J146" s="5"/>
      <c r="K146" s="5"/>
      <c r="L146" s="5"/>
      <c r="M146" s="5"/>
    </row>
    <row r="147" spans="1:13">
      <c r="A147" s="5"/>
      <c r="B147" s="5"/>
      <c r="C147" s="5"/>
      <c r="D147" s="5"/>
      <c r="E147" s="5"/>
      <c r="F147" s="5"/>
      <c r="G147" s="535"/>
      <c r="H147" s="535"/>
      <c r="I147" s="5"/>
      <c r="J147" s="5"/>
      <c r="K147" s="5"/>
      <c r="L147" s="5"/>
      <c r="M147" s="5"/>
    </row>
    <row r="148" spans="1:13">
      <c r="A148" s="5"/>
      <c r="B148" s="5"/>
      <c r="C148" s="5"/>
      <c r="D148" s="5"/>
      <c r="E148" s="5"/>
      <c r="F148" s="5"/>
      <c r="G148" s="535"/>
      <c r="H148" s="535"/>
      <c r="I148" s="5"/>
      <c r="J148" s="5"/>
      <c r="K148" s="5"/>
      <c r="L148" s="5"/>
      <c r="M148" s="5"/>
    </row>
    <row r="149" spans="1:13">
      <c r="A149" s="5"/>
      <c r="B149" s="5"/>
      <c r="C149" s="5"/>
      <c r="D149" s="5"/>
      <c r="E149" s="5"/>
      <c r="F149" s="5"/>
      <c r="G149" s="535"/>
      <c r="H149" s="535"/>
      <c r="I149" s="5"/>
      <c r="J149" s="5"/>
      <c r="K149" s="5"/>
      <c r="L149" s="5"/>
      <c r="M149" s="5"/>
    </row>
    <row r="150" spans="1:13">
      <c r="A150" s="5"/>
      <c r="B150" s="5"/>
      <c r="C150" s="5"/>
      <c r="D150" s="5"/>
      <c r="E150" s="5"/>
      <c r="F150" s="5"/>
      <c r="G150" s="535"/>
      <c r="H150" s="535"/>
      <c r="I150" s="5"/>
      <c r="J150" s="5"/>
      <c r="K150" s="5"/>
      <c r="L150" s="5"/>
      <c r="M150" s="5"/>
    </row>
    <row r="151" spans="1:13">
      <c r="A151" s="5"/>
      <c r="B151" s="5"/>
      <c r="C151" s="5"/>
      <c r="D151" s="5"/>
      <c r="E151" s="5"/>
      <c r="F151" s="5"/>
      <c r="G151" s="535"/>
      <c r="H151" s="535"/>
      <c r="I151" s="5"/>
      <c r="J151" s="5"/>
      <c r="K151" s="5"/>
      <c r="L151" s="5"/>
      <c r="M151" s="5"/>
    </row>
    <row r="152" spans="1:13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mergeCells count="124"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</mergeCell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2:O52"/>
  <sheetViews>
    <sheetView topLeftCell="B1" workbookViewId="0">
      <pane xSplit="1" topLeftCell="C1" activePane="topRight" state="frozen"/>
      <selection activeCell="B3" sqref="B3"/>
      <selection pane="topRight" activeCell="E18" sqref="E18"/>
    </sheetView>
  </sheetViews>
  <sheetFormatPr defaultRowHeight="1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>
      <c r="A2" s="538" t="s">
        <v>220</v>
      </c>
      <c r="B2" s="539"/>
      <c r="C2" s="243"/>
      <c r="D2" s="243"/>
    </row>
    <row r="3" spans="1:15">
      <c r="A3" s="538"/>
      <c r="B3" s="539"/>
      <c r="C3" s="243"/>
      <c r="D3" s="243"/>
    </row>
    <row r="4" spans="1:15" ht="15.75" thickBot="1">
      <c r="A4" s="540"/>
      <c r="B4" s="541"/>
      <c r="C4" s="245"/>
      <c r="D4" s="245"/>
    </row>
    <row r="5" spans="1:15" s="251" customFormat="1">
      <c r="A5" s="246" t="s">
        <v>1</v>
      </c>
      <c r="B5" s="247" t="s">
        <v>2</v>
      </c>
      <c r="C5" s="248" t="s">
        <v>3</v>
      </c>
      <c r="D5" s="249" t="s">
        <v>4</v>
      </c>
      <c r="E5" s="250" t="s">
        <v>5</v>
      </c>
      <c r="F5" s="250" t="s">
        <v>6</v>
      </c>
      <c r="G5" s="250" t="s">
        <v>7</v>
      </c>
      <c r="H5" s="250" t="s">
        <v>8</v>
      </c>
      <c r="I5" s="250" t="s">
        <v>41</v>
      </c>
      <c r="J5" s="250" t="s">
        <v>42</v>
      </c>
      <c r="K5" s="250" t="s">
        <v>53</v>
      </c>
      <c r="L5" s="250" t="s">
        <v>44</v>
      </c>
      <c r="M5" s="250" t="s">
        <v>45</v>
      </c>
      <c r="N5" s="250" t="s">
        <v>46</v>
      </c>
      <c r="O5" s="250" t="s">
        <v>47</v>
      </c>
    </row>
    <row r="6" spans="1:15" s="424" customFormat="1">
      <c r="A6" s="422">
        <v>1</v>
      </c>
      <c r="B6" s="415" t="s">
        <v>366</v>
      </c>
      <c r="C6" s="416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</row>
    <row r="7" spans="1:15">
      <c r="A7" s="252">
        <v>2</v>
      </c>
      <c r="B7" s="253" t="s">
        <v>17</v>
      </c>
      <c r="C7" s="254" t="s">
        <v>27</v>
      </c>
      <c r="D7" s="157">
        <f>'DADOS ECONÔMICOS MENSAIS'!D8</f>
        <v>1411.038</v>
      </c>
      <c r="E7" s="157">
        <f>'DADOS ECONÔMICOS MENSAIS'!G8</f>
        <v>1254.5999999999999</v>
      </c>
      <c r="F7" s="157">
        <f>'DADOS ECONÔMICOS MENSAIS'!J8</f>
        <v>1390.5</v>
      </c>
      <c r="G7" s="157">
        <f>'DADOS ECONÔMICOS MENSAIS'!M8</f>
        <v>1262.8800000000001</v>
      </c>
      <c r="H7" s="157">
        <f>'DADOS ECONÔMICOS MENSAIS'!P8</f>
        <v>862.11</v>
      </c>
      <c r="I7" s="157">
        <f>'DADOS ECONÔMICOS MENSAIS'!S8</f>
        <v>1183.9596999999999</v>
      </c>
      <c r="J7" s="157">
        <f>'DADOS ECONÔMICOS MENSAIS'!V8</f>
        <v>1762.25</v>
      </c>
      <c r="K7" s="157">
        <f>'DADOS ECONÔMICOS MENSAIS'!Y8</f>
        <v>0</v>
      </c>
      <c r="L7" s="157">
        <f>'DADOS ECONÔMICOS MENSAIS'!AB8</f>
        <v>0</v>
      </c>
      <c r="M7" s="157">
        <f>'DADOS ECONÔMICOS MENSAIS'!AE8</f>
        <v>0</v>
      </c>
      <c r="N7" s="157">
        <f>'DADOS ECONÔMICOS MENSAIS'!AH8</f>
        <v>0</v>
      </c>
      <c r="O7" s="157">
        <f>'DADOS ECONÔMICOS MENSAIS'!AK8</f>
        <v>0</v>
      </c>
    </row>
    <row r="8" spans="1:15">
      <c r="A8" s="252">
        <v>3</v>
      </c>
      <c r="B8" s="253" t="s">
        <v>321</v>
      </c>
      <c r="C8" s="254" t="s">
        <v>18</v>
      </c>
      <c r="D8" s="157">
        <f>D7/'DADOS TÉCNICOS MENSAIS'!C7</f>
        <v>0.84899999999999998</v>
      </c>
      <c r="E8" s="157">
        <f>E7/'DADOS TÉCNICOS MENSAIS'!D7</f>
        <v>0.85</v>
      </c>
      <c r="F8" s="157">
        <f>F7/'DADOS TÉCNICOS MENSAIS'!E7</f>
        <v>0.9</v>
      </c>
      <c r="G8" s="157">
        <f>G7/'DADOS TÉCNICOS MENSAIS'!F7</f>
        <v>0.87700000000000011</v>
      </c>
      <c r="H8" s="157">
        <f>H7/'DADOS TÉCNICOS MENSAIS'!G7</f>
        <v>0.9</v>
      </c>
      <c r="I8" s="157">
        <f>I7/'DADOS TÉCNICOS MENSAIS'!H7</f>
        <v>0.94489999999999996</v>
      </c>
      <c r="J8" s="157">
        <f>J7/'DADOS TÉCNICOS MENSAIS'!I7</f>
        <v>0.95</v>
      </c>
      <c r="K8" s="157" t="e">
        <f>K7/'DADOS TÉCNICOS MENSAIS'!J7</f>
        <v>#DIV/0!</v>
      </c>
      <c r="L8" s="157" t="e">
        <f>L7/'DADOS TÉCNICOS MENSAIS'!K7</f>
        <v>#DIV/0!</v>
      </c>
      <c r="M8" s="157" t="e">
        <f>M7/'DADOS TÉCNICOS MENSAIS'!L7</f>
        <v>#DIV/0!</v>
      </c>
      <c r="N8" s="157" t="e">
        <f>N7/'DADOS TÉCNICOS MENSAIS'!M7</f>
        <v>#DIV/0!</v>
      </c>
      <c r="O8" s="157" t="e">
        <f>O7/'DADOS TÉCNICOS MENSAIS'!N7</f>
        <v>#DIV/0!</v>
      </c>
    </row>
    <row r="9" spans="1:15" s="424" customFormat="1">
      <c r="A9" s="422">
        <v>4</v>
      </c>
      <c r="B9" s="415" t="s">
        <v>390</v>
      </c>
      <c r="C9" s="416" t="s">
        <v>27</v>
      </c>
      <c r="D9" s="423">
        <f>'DADOS ECONÔMICOS MENSAIS'!D95</f>
        <v>1058.81</v>
      </c>
      <c r="E9" s="423">
        <f>'DADOS ECONÔMICOS MENSAIS'!G95</f>
        <v>1047.8599999999999</v>
      </c>
      <c r="F9" s="423">
        <f>'DADOS ECONÔMICOS MENSAIS'!J95</f>
        <v>900.88000000000011</v>
      </c>
      <c r="G9" s="423">
        <f>'DADOS ECONÔMICOS MENSAIS'!M95</f>
        <v>648.53</v>
      </c>
      <c r="H9" s="423">
        <f>'DADOS ECONÔMICOS MENSAIS'!P95</f>
        <v>815.98</v>
      </c>
      <c r="I9" s="423">
        <f>'DADOS ECONÔMICOS MENSAIS'!S95</f>
        <v>1641.44</v>
      </c>
      <c r="J9" s="423">
        <f>'DADOS ECONÔMICOS MENSAIS'!V95</f>
        <v>1803</v>
      </c>
      <c r="K9" s="423">
        <f>'DADOS ECONÔMICOS MENSAIS'!Y95</f>
        <v>0</v>
      </c>
      <c r="L9" s="423">
        <f>'DADOS ECONÔMICOS MENSAIS'!AB95</f>
        <v>0</v>
      </c>
      <c r="M9" s="423">
        <f>'DADOS ECONÔMICOS MENSAIS'!AE95</f>
        <v>0</v>
      </c>
      <c r="N9" s="423">
        <f>'DADOS ECONÔMICOS MENSAIS'!AH95</f>
        <v>0</v>
      </c>
      <c r="O9" s="423">
        <f>'DADOS ECONÔMICOS MENSAIS'!AK95</f>
        <v>0</v>
      </c>
    </row>
    <row r="10" spans="1:15" s="424" customFormat="1">
      <c r="A10" s="422">
        <v>5</v>
      </c>
      <c r="B10" s="415" t="s">
        <v>389</v>
      </c>
      <c r="C10" s="416" t="s">
        <v>27</v>
      </c>
      <c r="D10" s="423">
        <f>D9+D37+(INVENTÁRIO!$J$13/12)</f>
        <v>1988.6711111111113</v>
      </c>
      <c r="E10" s="423">
        <f>E9+E37+(INVENTÁRIO!$J$13/12)</f>
        <v>1977.721111111111</v>
      </c>
      <c r="F10" s="423">
        <f>F9+F37+(INVENTÁRIO!$J$13/12)</f>
        <v>1830.7411111111114</v>
      </c>
      <c r="G10" s="423">
        <f>G9+G37+(INVENTÁRIO!$J$13/12)</f>
        <v>1578.3911111111111</v>
      </c>
      <c r="H10" s="423">
        <f>H9+H37+(INVENTÁRIO!$J$13/12)</f>
        <v>1745.8411111111113</v>
      </c>
      <c r="I10" s="423">
        <f>I9+I37+(INVENTÁRIO!$J$13/12)</f>
        <v>2571.3011111111114</v>
      </c>
      <c r="J10" s="423">
        <f>J9+J37+(INVENTÁRIO!$J$13/12)</f>
        <v>2732.8611111111113</v>
      </c>
      <c r="K10" s="423">
        <f>K9+K37+(INVENTÁRIO!$J$13/12)</f>
        <v>929.8611111111112</v>
      </c>
      <c r="L10" s="423">
        <f>L9+L37+(INVENTÁRIO!$J$13/12)</f>
        <v>929.8611111111112</v>
      </c>
      <c r="M10" s="423">
        <f>M9+M37+(INVENTÁRIO!$J$13/12)</f>
        <v>929.8611111111112</v>
      </c>
      <c r="N10" s="423">
        <f>N9+N37+(INVENTÁRIO!$J$13/12)</f>
        <v>929.8611111111112</v>
      </c>
      <c r="O10" s="423">
        <f>O9+O37+(INVENTÁRIO!$J$13/12)</f>
        <v>929.8611111111112</v>
      </c>
    </row>
    <row r="11" spans="1:15" s="424" customFormat="1">
      <c r="A11" s="422">
        <v>6</v>
      </c>
      <c r="B11" s="415" t="s">
        <v>374</v>
      </c>
      <c r="C11" s="416" t="s">
        <v>27</v>
      </c>
      <c r="D11" s="423">
        <f>D10+(INVENTÁRIO!$J$25*(INVENTÁRIO!$J$26/12))</f>
        <v>2787.9211111111113</v>
      </c>
      <c r="E11" s="423">
        <f>E10+(INVENTÁRIO!$J$25*(INVENTÁRIO!$J$26/12))</f>
        <v>2776.971111111111</v>
      </c>
      <c r="F11" s="423">
        <f>F10+(INVENTÁRIO!$J$25*(INVENTÁRIO!$J$26/12))</f>
        <v>2629.9911111111114</v>
      </c>
      <c r="G11" s="423">
        <f>G10+(INVENTÁRIO!$J$25*(INVENTÁRIO!$J$26/12))</f>
        <v>2377.6411111111111</v>
      </c>
      <c r="H11" s="423">
        <f>H10+(INVENTÁRIO!$J$25*(INVENTÁRIO!$J$26/12))</f>
        <v>2545.0911111111113</v>
      </c>
      <c r="I11" s="423">
        <f>I10+(INVENTÁRIO!$J$25*(INVENTÁRIO!$J$26/12))</f>
        <v>3370.5511111111114</v>
      </c>
      <c r="J11" s="423">
        <f>J10+(INVENTÁRIO!$J$25*(INVENTÁRIO!$J$26/12))</f>
        <v>3532.1111111111113</v>
      </c>
      <c r="K11" s="423">
        <f>K10+(INVENTÁRIO!$J$25*(INVENTÁRIO!$J$26/12))</f>
        <v>1729.1111111111113</v>
      </c>
      <c r="L11" s="423">
        <f>L10+(INVENTÁRIO!$J$25*(INVENTÁRIO!$J$26/12))</f>
        <v>1729.1111111111113</v>
      </c>
      <c r="M11" s="423">
        <f>M10+(INVENTÁRIO!$J$25*(INVENTÁRIO!$J$26/12))</f>
        <v>1729.1111111111113</v>
      </c>
      <c r="N11" s="423">
        <f>N10+(INVENTÁRIO!$J$25*(INVENTÁRIO!$J$26/12))</f>
        <v>1729.1111111111113</v>
      </c>
      <c r="O11" s="423">
        <f>O10+(INVENTÁRIO!$J$25*(INVENTÁRIO!$J$26/12))</f>
        <v>1729.1111111111113</v>
      </c>
    </row>
    <row r="12" spans="1:15">
      <c r="A12" s="252">
        <v>7</v>
      </c>
      <c r="B12" s="253" t="s">
        <v>311</v>
      </c>
      <c r="C12" s="254" t="s">
        <v>27</v>
      </c>
      <c r="D12" s="157">
        <f>'DADOS ECONÔMICOS MENSAIS'!D95*INVENTÁRIO!$J$14</f>
        <v>847.048</v>
      </c>
      <c r="E12" s="157">
        <f>'DADOS ECONÔMICOS MENSAIS'!G95*INVENTÁRIO!$J$14</f>
        <v>838.28800000000001</v>
      </c>
      <c r="F12" s="157">
        <f>'DADOS ECONÔMICOS MENSAIS'!J95*INVENTÁRIO!$J$14</f>
        <v>720.70400000000018</v>
      </c>
      <c r="G12" s="157">
        <f>'DADOS ECONÔMICOS MENSAIS'!M95*INVENTÁRIO!$J$14</f>
        <v>518.82399999999996</v>
      </c>
      <c r="H12" s="157">
        <f>'DADOS ECONÔMICOS MENSAIS'!P95*INVENTÁRIO!$J$14</f>
        <v>652.78400000000011</v>
      </c>
      <c r="I12" s="157">
        <f>'DADOS ECONÔMICOS MENSAIS'!S95*INVENTÁRIO!$J$14</f>
        <v>1313.152</v>
      </c>
      <c r="J12" s="157">
        <f>'DADOS ECONÔMICOS MENSAIS'!V95*INVENTÁRIO!$J$14</f>
        <v>1442.4</v>
      </c>
      <c r="K12" s="157">
        <f>'DADOS ECONÔMICOS MENSAIS'!Y95*INVENTÁRIO!$J$14</f>
        <v>0</v>
      </c>
      <c r="L12" s="157">
        <f>'DADOS ECONÔMICOS MENSAIS'!AB95*INVENTÁRIO!$J$14</f>
        <v>0</v>
      </c>
      <c r="M12" s="157">
        <f>'DADOS ECONÔMICOS MENSAIS'!AE95*INVENTÁRIO!$J$14</f>
        <v>0</v>
      </c>
      <c r="N12" s="157">
        <f>'DADOS ECONÔMICOS MENSAIS'!AH95*INVENTÁRIO!$J$14</f>
        <v>0</v>
      </c>
      <c r="O12" s="157">
        <f>'DADOS ECONÔMICOS MENSAIS'!AK95*INVENTÁRIO!$J$14</f>
        <v>0</v>
      </c>
    </row>
    <row r="13" spans="1:15">
      <c r="A13" s="252">
        <v>8</v>
      </c>
      <c r="B13" s="253" t="s">
        <v>312</v>
      </c>
      <c r="C13" s="254" t="s">
        <v>27</v>
      </c>
      <c r="D13" s="157">
        <f>D12+D37+(INVENTÁRIO!$J$15/12)</f>
        <v>1590.9368888888889</v>
      </c>
      <c r="E13" s="157">
        <f>E12+E37+(INVENTÁRIO!$J$15/12)</f>
        <v>1582.1768888888892</v>
      </c>
      <c r="F13" s="157">
        <f>F12+F37+(INVENTÁRIO!$J$15/12)</f>
        <v>1464.5928888888893</v>
      </c>
      <c r="G13" s="157">
        <f>G12+G37+(INVENTÁRIO!$J$15/12)</f>
        <v>1262.712888888889</v>
      </c>
      <c r="H13" s="157">
        <f>H12+H37+(INVENTÁRIO!$J$15/12)</f>
        <v>1396.6728888888892</v>
      </c>
      <c r="I13" s="157">
        <f>I12+I37+(INVENTÁRIO!$J$15/12)</f>
        <v>2057.0408888888892</v>
      </c>
      <c r="J13" s="157">
        <f>J12+J37+(INVENTÁRIO!$J$15/12)</f>
        <v>2186.2888888888892</v>
      </c>
      <c r="K13" s="157">
        <f>K12+K37+(INVENTÁRIO!$J$15/12)</f>
        <v>743.88888888888903</v>
      </c>
      <c r="L13" s="157">
        <f>L12+L37+(INVENTÁRIO!$J$15/12)</f>
        <v>743.88888888888903</v>
      </c>
      <c r="M13" s="157">
        <f>M12+M37+(INVENTÁRIO!$J$15/12)</f>
        <v>743.88888888888903</v>
      </c>
      <c r="N13" s="157">
        <f>N12+N37+(INVENTÁRIO!$J$15/12)</f>
        <v>743.88888888888903</v>
      </c>
      <c r="O13" s="157">
        <f>O12+O37+(INVENTÁRIO!$J$15/12)</f>
        <v>743.88888888888903</v>
      </c>
    </row>
    <row r="14" spans="1:15">
      <c r="A14" s="252">
        <v>9</v>
      </c>
      <c r="B14" s="253" t="s">
        <v>19</v>
      </c>
      <c r="C14" s="254" t="s">
        <v>27</v>
      </c>
      <c r="D14" s="257">
        <f>D13+INVENTÁRIO!$J$27*(INVENTÁRIO!$J$26/12)</f>
        <v>2230.336888888889</v>
      </c>
      <c r="E14" s="257">
        <f>E13+INVENTÁRIO!$J$27*(INVENTÁRIO!$J$26/12)</f>
        <v>2221.5768888888892</v>
      </c>
      <c r="F14" s="257">
        <f>F13+INVENTÁRIO!$J$27*(INVENTÁRIO!$J$26/12)</f>
        <v>2103.9928888888894</v>
      </c>
      <c r="G14" s="257">
        <f>G13+INVENTÁRIO!$J$27*(INVENTÁRIO!$J$26/12)</f>
        <v>1902.1128888888888</v>
      </c>
      <c r="H14" s="257">
        <f>H13+INVENTÁRIO!$J$27*(INVENTÁRIO!$J$26/12)</f>
        <v>2036.0728888888893</v>
      </c>
      <c r="I14" s="257">
        <f>I13+INVENTÁRIO!$J$27*(INVENTÁRIO!$J$26/12)</f>
        <v>2696.4408888888893</v>
      </c>
      <c r="J14" s="257">
        <f>J13+INVENTÁRIO!$J$27*(INVENTÁRIO!$J$26/12)</f>
        <v>2825.6888888888893</v>
      </c>
      <c r="K14" s="257">
        <f>K13+INVENTÁRIO!$J$27*(INVENTÁRIO!$J$26/12)</f>
        <v>1383.288888888889</v>
      </c>
      <c r="L14" s="257">
        <f>L13+INVENTÁRIO!$J$27*(INVENTÁRIO!$J$26/12)</f>
        <v>1383.288888888889</v>
      </c>
      <c r="M14" s="257">
        <f>M13+INVENTÁRIO!$J$27*(INVENTÁRIO!$J$26/12)</f>
        <v>1383.288888888889</v>
      </c>
      <c r="N14" s="257">
        <f>N13+INVENTÁRIO!$J$27*(INVENTÁRIO!$J$26/12)</f>
        <v>1383.288888888889</v>
      </c>
      <c r="O14" s="257">
        <f>O13+INVENTÁRIO!$J$27*(INVENTÁRIO!$J$26/12)</f>
        <v>1383.288888888889</v>
      </c>
    </row>
    <row r="15" spans="1:15">
      <c r="A15" s="252">
        <v>10</v>
      </c>
      <c r="B15" s="253" t="s">
        <v>310</v>
      </c>
      <c r="C15" s="254" t="s">
        <v>18</v>
      </c>
      <c r="D15" s="341">
        <f>D12/'DADOS TÉCNICOS MENSAIS'!C7</f>
        <v>0.50965583634175693</v>
      </c>
      <c r="E15" s="341">
        <f>E12/'DADOS TÉCNICOS MENSAIS'!D7</f>
        <v>0.56794579945799462</v>
      </c>
      <c r="F15" s="341">
        <f>F12/'DADOS TÉCNICOS MENSAIS'!E7</f>
        <v>0.46647508090614898</v>
      </c>
      <c r="G15" s="341">
        <f>G12/'DADOS TÉCNICOS MENSAIS'!F7</f>
        <v>0.36029444444444442</v>
      </c>
      <c r="H15" s="341">
        <f>H12/'DADOS TÉCNICOS MENSAIS'!G7</f>
        <v>0.68147405783484716</v>
      </c>
      <c r="I15" s="341">
        <f>I12/'DADOS TÉCNICOS MENSAIS'!H7</f>
        <v>1.0480063846767758</v>
      </c>
      <c r="J15" s="341">
        <f>J12/'DADOS TÉCNICOS MENSAIS'!I7</f>
        <v>0.77757412398921832</v>
      </c>
      <c r="K15" s="341" t="e">
        <f>K12/'DADOS TÉCNICOS MENSAIS'!J7</f>
        <v>#DIV/0!</v>
      </c>
      <c r="L15" s="341" t="e">
        <f>L12/'DADOS TÉCNICOS MENSAIS'!K7</f>
        <v>#DIV/0!</v>
      </c>
      <c r="M15" s="341" t="e">
        <f>M12/'DADOS TÉCNICOS MENSAIS'!L7</f>
        <v>#DIV/0!</v>
      </c>
      <c r="N15" s="341" t="e">
        <f>N12/'DADOS TÉCNICOS MENSAIS'!M7</f>
        <v>#DIV/0!</v>
      </c>
      <c r="O15" s="341" t="e">
        <f>O12/'DADOS TÉCNICOS MENSAIS'!N7</f>
        <v>#DIV/0!</v>
      </c>
    </row>
    <row r="16" spans="1:15">
      <c r="A16" s="252">
        <v>11</v>
      </c>
      <c r="B16" s="253" t="s">
        <v>320</v>
      </c>
      <c r="C16" s="254" t="s">
        <v>18</v>
      </c>
      <c r="D16" s="341">
        <f>D13/'DADOS TÉCNICOS MENSAIS'!C7</f>
        <v>0.95724241208717742</v>
      </c>
      <c r="E16" s="341">
        <f>E13/'DADOS TÉCNICOS MENSAIS'!D7</f>
        <v>1.0719355615778381</v>
      </c>
      <c r="F16" s="341">
        <f>F13/'DADOS TÉCNICOS MENSAIS'!E7</f>
        <v>0.9479565623876306</v>
      </c>
      <c r="G16" s="341">
        <f>G13/'DADOS TÉCNICOS MENSAIS'!F7</f>
        <v>0.87688395061728397</v>
      </c>
      <c r="H16" s="341">
        <f>H13/'DADOS TÉCNICOS MENSAIS'!G7</f>
        <v>1.4580570924823983</v>
      </c>
      <c r="I16" s="341">
        <f>I13/'DADOS TÉCNICOS MENSAIS'!H7</f>
        <v>1.6416926487541015</v>
      </c>
      <c r="J16" s="341">
        <f>J13/'DADOS TÉCNICOS MENSAIS'!I7</f>
        <v>1.1785923929320157</v>
      </c>
      <c r="K16" s="341" t="e">
        <f>K13/'DADOS TÉCNICOS MENSAIS'!J7</f>
        <v>#DIV/0!</v>
      </c>
      <c r="L16" s="341" t="e">
        <f>L13/'DADOS TÉCNICOS MENSAIS'!K7</f>
        <v>#DIV/0!</v>
      </c>
      <c r="M16" s="341" t="e">
        <f>M13/'DADOS TÉCNICOS MENSAIS'!L7</f>
        <v>#DIV/0!</v>
      </c>
      <c r="N16" s="341" t="e">
        <f>N13/'DADOS TÉCNICOS MENSAIS'!M7</f>
        <v>#DIV/0!</v>
      </c>
      <c r="O16" s="341" t="e">
        <f>O13/'DADOS TÉCNICOS MENSAIS'!N7</f>
        <v>#DIV/0!</v>
      </c>
    </row>
    <row r="17" spans="1:15">
      <c r="A17" s="252">
        <v>12</v>
      </c>
      <c r="B17" s="253" t="s">
        <v>323</v>
      </c>
      <c r="C17" s="254" t="s">
        <v>27</v>
      </c>
      <c r="D17" s="341">
        <f>D14/'DADOS TÉCNICOS MENSAIS'!C7</f>
        <v>1.3419596202700896</v>
      </c>
      <c r="E17" s="341">
        <f>E14/'DADOS TÉCNICOS MENSAIS'!D7</f>
        <v>1.5051333935561579</v>
      </c>
      <c r="F17" s="341">
        <f>F14/'DADOS TÉCNICOS MENSAIS'!E7</f>
        <v>1.3618076950737148</v>
      </c>
      <c r="G17" s="341">
        <f>G14/'DADOS TÉCNICOS MENSAIS'!F7</f>
        <v>1.3209117283950618</v>
      </c>
      <c r="H17" s="341">
        <f>H14/'DADOS TÉCNICOS MENSAIS'!G7</f>
        <v>2.1255589193954374</v>
      </c>
      <c r="I17" s="341">
        <f>I14/'DADOS TÉCNICOS MENSAIS'!H7</f>
        <v>2.1519879400549793</v>
      </c>
      <c r="J17" s="341">
        <f>J14/'DADOS TÉCNICOS MENSAIS'!I7</f>
        <v>1.5232824198861936</v>
      </c>
      <c r="K17" s="341" t="e">
        <f>K14/'DADOS TÉCNICOS MENSAIS'!J7</f>
        <v>#DIV/0!</v>
      </c>
      <c r="L17" s="341" t="e">
        <f>L14/'DADOS TÉCNICOS MENSAIS'!K7</f>
        <v>#DIV/0!</v>
      </c>
      <c r="M17" s="341" t="e">
        <f>M14/'DADOS TÉCNICOS MENSAIS'!L7</f>
        <v>#DIV/0!</v>
      </c>
      <c r="N17" s="341" t="e">
        <f>N14/'DADOS TÉCNICOS MENSAIS'!M7</f>
        <v>#DIV/0!</v>
      </c>
      <c r="O17" s="341" t="e">
        <f>O14/'DADOS TÉCNICOS MENSAIS'!N7</f>
        <v>#DIV/0!</v>
      </c>
    </row>
    <row r="18" spans="1:15">
      <c r="A18" s="252">
        <v>13</v>
      </c>
      <c r="B18" s="253" t="s">
        <v>306</v>
      </c>
      <c r="C18" s="254" t="s">
        <v>341</v>
      </c>
      <c r="D18" s="412">
        <f>D15/D8</f>
        <v>0.60030133844729916</v>
      </c>
      <c r="E18" s="412">
        <f t="shared" ref="E18:O18" si="0">E15/E8</f>
        <v>0.66817152877411135</v>
      </c>
      <c r="F18" s="412">
        <f t="shared" si="0"/>
        <v>0.51830564545127666</v>
      </c>
      <c r="G18" s="412">
        <f t="shared" si="0"/>
        <v>0.41082604839731401</v>
      </c>
      <c r="H18" s="412">
        <f t="shared" si="0"/>
        <v>0.75719339759427462</v>
      </c>
      <c r="I18" s="412">
        <f t="shared" si="0"/>
        <v>1.1091188323386345</v>
      </c>
      <c r="J18" s="412">
        <f t="shared" si="0"/>
        <v>0.81849907788338772</v>
      </c>
      <c r="K18" s="412" t="e">
        <f t="shared" si="0"/>
        <v>#DIV/0!</v>
      </c>
      <c r="L18" s="412" t="e">
        <f t="shared" si="0"/>
        <v>#DIV/0!</v>
      </c>
      <c r="M18" s="412" t="e">
        <f t="shared" si="0"/>
        <v>#DIV/0!</v>
      </c>
      <c r="N18" s="412" t="e">
        <f t="shared" si="0"/>
        <v>#DIV/0!</v>
      </c>
      <c r="O18" s="412" t="e">
        <f t="shared" si="0"/>
        <v>#DIV/0!</v>
      </c>
    </row>
    <row r="19" spans="1:15">
      <c r="A19" s="252">
        <v>14</v>
      </c>
      <c r="B19" s="253" t="s">
        <v>307</v>
      </c>
      <c r="C19" s="254" t="s">
        <v>341</v>
      </c>
      <c r="D19" s="412">
        <f>D16/D8</f>
        <v>1.1274940071698203</v>
      </c>
      <c r="E19" s="412">
        <f t="shared" ref="E19:O19" si="1">E16/E8</f>
        <v>1.2611006606798096</v>
      </c>
      <c r="F19" s="412">
        <f t="shared" si="1"/>
        <v>1.0532850693195894</v>
      </c>
      <c r="G19" s="412">
        <f t="shared" si="1"/>
        <v>0.9998676745921139</v>
      </c>
      <c r="H19" s="412">
        <f t="shared" si="1"/>
        <v>1.6200634360915536</v>
      </c>
      <c r="I19" s="412">
        <f t="shared" si="1"/>
        <v>1.7374247526236655</v>
      </c>
      <c r="J19" s="412">
        <f t="shared" si="1"/>
        <v>1.240623571507385</v>
      </c>
      <c r="K19" s="412" t="e">
        <f t="shared" si="1"/>
        <v>#DIV/0!</v>
      </c>
      <c r="L19" s="412" t="e">
        <f t="shared" si="1"/>
        <v>#DIV/0!</v>
      </c>
      <c r="M19" s="412" t="e">
        <f t="shared" si="1"/>
        <v>#DIV/0!</v>
      </c>
      <c r="N19" s="412" t="e">
        <f t="shared" si="1"/>
        <v>#DIV/0!</v>
      </c>
      <c r="O19" s="412" t="e">
        <f t="shared" si="1"/>
        <v>#DIV/0!</v>
      </c>
    </row>
    <row r="20" spans="1:15">
      <c r="A20" s="252">
        <v>15</v>
      </c>
      <c r="B20" s="253" t="s">
        <v>308</v>
      </c>
      <c r="C20" s="254" t="s">
        <v>341</v>
      </c>
      <c r="D20" s="412">
        <f>D17/D8</f>
        <v>1.5806355951355591</v>
      </c>
      <c r="E20" s="412">
        <f t="shared" ref="E20:O20" si="2">E17/E8</f>
        <v>1.7707451688895977</v>
      </c>
      <c r="F20" s="412">
        <f t="shared" si="2"/>
        <v>1.5131196611930164</v>
      </c>
      <c r="G20" s="412">
        <f t="shared" si="2"/>
        <v>1.506170727930515</v>
      </c>
      <c r="H20" s="412">
        <f t="shared" si="2"/>
        <v>2.3617321326615972</v>
      </c>
      <c r="I20" s="412">
        <f t="shared" si="2"/>
        <v>2.2774769182505867</v>
      </c>
      <c r="J20" s="412">
        <f t="shared" si="2"/>
        <v>1.6034551788275724</v>
      </c>
      <c r="K20" s="412" t="e">
        <f t="shared" si="2"/>
        <v>#DIV/0!</v>
      </c>
      <c r="L20" s="412" t="e">
        <f t="shared" si="2"/>
        <v>#DIV/0!</v>
      </c>
      <c r="M20" s="412" t="e">
        <f t="shared" si="2"/>
        <v>#DIV/0!</v>
      </c>
      <c r="N20" s="412" t="e">
        <f t="shared" si="2"/>
        <v>#DIV/0!</v>
      </c>
      <c r="O20" s="412" t="e">
        <f t="shared" si="2"/>
        <v>#DIV/0!</v>
      </c>
    </row>
    <row r="21" spans="1:15">
      <c r="A21" s="252">
        <v>16</v>
      </c>
      <c r="B21" s="253" t="s">
        <v>450</v>
      </c>
      <c r="C21" s="254" t="s">
        <v>12</v>
      </c>
      <c r="D21" s="342">
        <f>('DADOS ECONÔMICOS MENSAIS'!$D$16*INVENTÁRIO!$J$14)/'INDICADORES ECONÔMICOS MENSAIS'!D7</f>
        <v>8.5043776283842104E-2</v>
      </c>
      <c r="E21" s="342">
        <f>('DADOS ECONÔMICOS MENSAIS'!$G$16*INVENTÁRIO!$J$14)/'INDICADORES ECONÔMICOS MENSAIS'!E7</f>
        <v>7.6518412242945963E-2</v>
      </c>
      <c r="F21" s="342">
        <f>('DADOS ECONÔMICOS MENSAIS'!$J$16*INVENTÁRIO!$J$14)/'INDICADORES ECONÔMICOS MENSAIS'!F7</f>
        <v>6.9039913700107869E-2</v>
      </c>
      <c r="G21" s="342">
        <f>SUM('DADOS ECONÔMICOS MENSAIS'!$M$16*INVENTÁRIO!$J$14)/'INDICADORES ECONÔMICOS MENSAIS'!G7</f>
        <v>0</v>
      </c>
      <c r="H21" s="342">
        <f>SUM('DADOS ECONÔMICOS MENSAIS'!$P$16*INVENTÁRIO!$J$14)/'INDICADORES ECONÔMICOS MENSAIS'!H7</f>
        <v>0</v>
      </c>
      <c r="I21" s="342">
        <f>SUM('DADOS ECONÔMICOS MENSAIS'!$S$16*INVENTÁRIO!$J$14)/'INDICADORES ECONÔMICOS MENSAIS'!I7</f>
        <v>8.108384094492406E-2</v>
      </c>
      <c r="J21" s="342">
        <f>SUM('DADOS ECONÔMICOS MENSAIS'!$V$16*INVENTÁRIO!$J$14)/'INDICADORES ECONÔMICOS MENSAIS'!J7</f>
        <v>0.11349127535820684</v>
      </c>
      <c r="K21" s="342" t="e">
        <f>SUM('DADOS ECONÔMICOS MENSAIS'!$Y$16*INVENTÁRIO!$J$14)/'INDICADORES ECONÔMICOS MENSAIS'!K7</f>
        <v>#DIV/0!</v>
      </c>
      <c r="L21" s="342" t="e">
        <f>SUM('DADOS ECONÔMICOS MENSAIS'!$AB$16*INVENTÁRIO!$J$14)/'INDICADORES ECONÔMICOS MENSAIS'!L7</f>
        <v>#DIV/0!</v>
      </c>
      <c r="M21" s="342" t="e">
        <f>SUM('DADOS ECONÔMICOS MENSAIS'!$AE$16*INVENTÁRIO!$J$14)/'INDICADORES ECONÔMICOS MENSAIS'!M7</f>
        <v>#DIV/0!</v>
      </c>
      <c r="N21" s="342" t="e">
        <f>SUM('DADOS ECONÔMICOS MENSAIS'!$AH$16*INVENTÁRIO!$J$14)/'INDICADORES ECONÔMICOS MENSAIS'!N7</f>
        <v>#DIV/0!</v>
      </c>
      <c r="O21" s="342" t="e">
        <f>SUM('DADOS ECONÔMICOS MENSAIS'!$AK$16*INVENTÁRIO!$J$14)/'INDICADORES ECONÔMICOS MENSAIS'!O7</f>
        <v>#DIV/0!</v>
      </c>
    </row>
    <row r="22" spans="1:15">
      <c r="A22" s="252">
        <v>17</v>
      </c>
      <c r="B22" s="253" t="s">
        <v>452</v>
      </c>
      <c r="C22" s="254" t="s">
        <v>12</v>
      </c>
      <c r="D22" s="256">
        <f>('DADOS ECONÔMICOS MENSAIS'!D16+'DADOS ECONÔMICOS MENSAIS'!D96)*INVENTÁRIO!$J$14/D7</f>
        <v>8.5043776283842104E-2</v>
      </c>
      <c r="E22" s="256">
        <f>('DADOS ECONÔMICOS MENSAIS'!G16+'DADOS ECONÔMICOS MENSAIS'!G96)*INVENTÁRIO!$J$14/E7</f>
        <v>7.6518412242945963E-2</v>
      </c>
      <c r="F22" s="256">
        <f>('DADOS ECONÔMICOS MENSAIS'!J16+'DADOS ECONÔMICOS MENSAIS'!J96)*INVENTÁRIO!$J$14/F7</f>
        <v>6.9039913700107869E-2</v>
      </c>
      <c r="G22" s="256">
        <f>('DADOS ECONÔMICOS MENSAIS'!M16+'DADOS ECONÔMICOS MENSAIS'!M96)*INVENTÁRIO!$J$14/G7</f>
        <v>0</v>
      </c>
      <c r="H22" s="256">
        <f>('DADOS ECONÔMICOS MENSAIS'!P16+'DADOS ECONÔMICOS MENSAIS'!P96)*INVENTÁRIO!$J$14/H7</f>
        <v>0</v>
      </c>
      <c r="I22" s="256">
        <f>('DADOS ECONÔMICOS MENSAIS'!S16+'DADOS ECONÔMICOS MENSAIS'!S96)*INVENTÁRIO!$J$14/I7</f>
        <v>8.108384094492406E-2</v>
      </c>
      <c r="J22" s="256">
        <f>('DADOS ECONÔMICOS MENSAIS'!V16+'DADOS ECONÔMICOS MENSAIS'!V96)*INVENTÁRIO!$J$14/J7</f>
        <v>0.11349127535820684</v>
      </c>
      <c r="K22" s="256" t="e">
        <f>('DADOS ECONÔMICOS MENSAIS'!Y16+'DADOS ECONÔMICOS MENSAIS'!Y96)*INVENTÁRIO!$J$14/K7</f>
        <v>#DIV/0!</v>
      </c>
      <c r="L22" s="256" t="e">
        <f>('DADOS ECONÔMICOS MENSAIS'!AB16+'DADOS ECONÔMICOS MENSAIS'!AB96)*INVENTÁRIO!$J$14/L7</f>
        <v>#DIV/0!</v>
      </c>
      <c r="M22" s="256" t="e">
        <f>('DADOS ECONÔMICOS MENSAIS'!AE16+'DADOS ECONÔMICOS MENSAIS'!AE96)*INVENTÁRIO!$J$14/M7</f>
        <v>#DIV/0!</v>
      </c>
      <c r="N22" s="256" t="e">
        <f>('DADOS ECONÔMICOS MENSAIS'!AH16+'DADOS ECONÔMICOS MENSAIS'!AH96)*INVENTÁRIO!$J$14/N7</f>
        <v>#DIV/0!</v>
      </c>
      <c r="O22" s="256" t="e">
        <f>('DADOS ECONÔMICOS MENSAIS'!AK16+'DADOS ECONÔMICOS MENSAIS'!AK96)*INVENTÁRIO!$J$14/O7</f>
        <v>#DIV/0!</v>
      </c>
    </row>
    <row r="23" spans="1:15">
      <c r="A23" s="252">
        <v>18</v>
      </c>
      <c r="B23" s="253" t="s">
        <v>451</v>
      </c>
      <c r="C23" s="254" t="s">
        <v>12</v>
      </c>
      <c r="D23" s="256">
        <f>'DADOS ECONÔMICOS MENSAIS'!D52*INVENTÁRIO!$J$14/D7</f>
        <v>0.46774076956113159</v>
      </c>
      <c r="E23" s="256">
        <f>'DADOS ECONÔMICOS MENSAIS'!G52*INVENTÁRIO!$J$14/E7</f>
        <v>0.53435357882990608</v>
      </c>
      <c r="F23" s="256">
        <f>'DADOS ECONÔMICOS MENSAIS'!J52*INVENTÁRIO!$J$14/F7</f>
        <v>0.42804746494066886</v>
      </c>
      <c r="G23" s="256">
        <f>'DADOS ECONÔMICOS MENSAIS'!M52*INVENTÁRIO!$J$14/G7</f>
        <v>0.35854554668693778</v>
      </c>
      <c r="H23" s="256">
        <f>'DADOS ECONÔMICOS MENSAIS'!P52*INVENTÁRIO!$J$14/H7</f>
        <v>0.70429991532403069</v>
      </c>
      <c r="I23" s="256">
        <f>'DADOS ECONÔMICOS MENSAIS'!S52*INVENTÁRIO!$J$14/I7</f>
        <v>0.64934642623393357</v>
      </c>
      <c r="J23" s="256">
        <f>'DADOS ECONÔMICOS MENSAIS'!V52*INVENTÁRIO!$J$14/J7</f>
        <v>0.67776989643921126</v>
      </c>
      <c r="K23" s="256" t="e">
        <f>'DADOS ECONÔMICOS MENSAIS'!Y52*INVENTÁRIO!$J$14/K7</f>
        <v>#DIV/0!</v>
      </c>
      <c r="L23" s="256" t="e">
        <f>'DADOS ECONÔMICOS MENSAIS'!AB52*INVENTÁRIO!$J$14/L7</f>
        <v>#DIV/0!</v>
      </c>
      <c r="M23" s="256" t="e">
        <f>'DADOS ECONÔMICOS MENSAIS'!AE52*INVENTÁRIO!$J$14/M7</f>
        <v>#DIV/0!</v>
      </c>
      <c r="N23" s="256" t="e">
        <f>'DADOS ECONÔMICOS MENSAIS'!AH52*INVENTÁRIO!$J$14/N7</f>
        <v>#DIV/0!</v>
      </c>
      <c r="O23" s="256" t="e">
        <f>'DADOS ECONÔMICOS MENSAIS'!AK52*INVENTÁRIO!$J$14/O7</f>
        <v>#DIV/0!</v>
      </c>
    </row>
    <row r="24" spans="1:15">
      <c r="A24" s="252">
        <v>19</v>
      </c>
      <c r="B24" s="253" t="s">
        <v>309</v>
      </c>
      <c r="C24" s="254" t="s">
        <v>27</v>
      </c>
      <c r="D24" s="157">
        <f>D7-D12</f>
        <v>563.99</v>
      </c>
      <c r="E24" s="157">
        <f t="shared" ref="E24:O24" si="3">E7-E12</f>
        <v>416.3119999999999</v>
      </c>
      <c r="F24" s="157">
        <f>F7-F12</f>
        <v>669.79599999999982</v>
      </c>
      <c r="G24" s="157">
        <f t="shared" si="3"/>
        <v>744.05600000000015</v>
      </c>
      <c r="H24" s="157">
        <f>H7-H12</f>
        <v>209.32599999999991</v>
      </c>
      <c r="I24" s="157">
        <f t="shared" si="3"/>
        <v>-129.19230000000016</v>
      </c>
      <c r="J24" s="157">
        <f t="shared" si="3"/>
        <v>319.84999999999991</v>
      </c>
      <c r="K24" s="157">
        <f t="shared" si="3"/>
        <v>0</v>
      </c>
      <c r="L24" s="157">
        <f t="shared" si="3"/>
        <v>0</v>
      </c>
      <c r="M24" s="157">
        <f t="shared" si="3"/>
        <v>0</v>
      </c>
      <c r="N24" s="157">
        <f t="shared" si="3"/>
        <v>0</v>
      </c>
      <c r="O24" s="157">
        <f t="shared" si="3"/>
        <v>0</v>
      </c>
    </row>
    <row r="25" spans="1:15">
      <c r="A25" s="252">
        <v>20</v>
      </c>
      <c r="B25" s="253" t="s">
        <v>322</v>
      </c>
      <c r="C25" s="254" t="s">
        <v>18</v>
      </c>
      <c r="D25" s="157">
        <f>D24/'DADOS TÉCNICOS MENSAIS'!C7</f>
        <v>0.3393441636582431</v>
      </c>
      <c r="E25" s="157">
        <f>E24/'DADOS TÉCNICOS MENSAIS'!D7</f>
        <v>0.28205420054200536</v>
      </c>
      <c r="F25" s="157">
        <f>F24/'DADOS TÉCNICOS MENSAIS'!E7</f>
        <v>0.43352491909385099</v>
      </c>
      <c r="G25" s="157">
        <f>G24/'DADOS TÉCNICOS MENSAIS'!F7</f>
        <v>0.51670555555555564</v>
      </c>
      <c r="H25" s="157">
        <f>H24/'DADOS TÉCNICOS MENSAIS'!G7</f>
        <v>0.21852594216515284</v>
      </c>
      <c r="I25" s="157">
        <f>I24/'DADOS TÉCNICOS MENSAIS'!H7</f>
        <v>-0.10310638467677587</v>
      </c>
      <c r="J25" s="157">
        <f>J24/'DADOS TÉCNICOS MENSAIS'!I7</f>
        <v>0.17242587601078163</v>
      </c>
      <c r="K25" s="157" t="e">
        <f>K24/'DADOS TÉCNICOS MENSAIS'!J7</f>
        <v>#DIV/0!</v>
      </c>
      <c r="L25" s="157" t="e">
        <f>L24/'DADOS TÉCNICOS MENSAIS'!K7</f>
        <v>#DIV/0!</v>
      </c>
      <c r="M25" s="157" t="e">
        <f>M24/'DADOS TÉCNICOS MENSAIS'!L7</f>
        <v>#DIV/0!</v>
      </c>
      <c r="N25" s="157" t="e">
        <f>N24/'DADOS TÉCNICOS MENSAIS'!M7</f>
        <v>#DIV/0!</v>
      </c>
      <c r="O25" s="157" t="e">
        <f>O24/'DADOS TÉCNICOS MENSAIS'!N7</f>
        <v>#DIV/0!</v>
      </c>
    </row>
    <row r="26" spans="1:15">
      <c r="A26" s="252">
        <v>21</v>
      </c>
      <c r="B26" s="253" t="s">
        <v>394</v>
      </c>
      <c r="C26" s="254" t="s">
        <v>28</v>
      </c>
      <c r="D26" s="157">
        <f>D24/D8</f>
        <v>664.29917550058894</v>
      </c>
      <c r="E26" s="157">
        <f t="shared" ref="E26:O26" si="4">E24/E8</f>
        <v>489.77882352941168</v>
      </c>
      <c r="F26" s="157">
        <f t="shared" si="4"/>
        <v>744.21777777777754</v>
      </c>
      <c r="G26" s="157">
        <f t="shared" si="4"/>
        <v>848.4104903078678</v>
      </c>
      <c r="H26" s="157">
        <f t="shared" si="4"/>
        <v>232.58444444444433</v>
      </c>
      <c r="I26" s="157">
        <f t="shared" si="4"/>
        <v>-136.7258969203092</v>
      </c>
      <c r="J26" s="157">
        <f t="shared" si="4"/>
        <v>336.68421052631572</v>
      </c>
      <c r="K26" s="157" t="e">
        <f t="shared" si="4"/>
        <v>#DIV/0!</v>
      </c>
      <c r="L26" s="157" t="e">
        <f t="shared" si="4"/>
        <v>#DIV/0!</v>
      </c>
      <c r="M26" s="157" t="e">
        <f t="shared" si="4"/>
        <v>#DIV/0!</v>
      </c>
      <c r="N26" s="157" t="e">
        <f t="shared" si="4"/>
        <v>#DIV/0!</v>
      </c>
      <c r="O26" s="157" t="e">
        <f t="shared" si="4"/>
        <v>#DIV/0!</v>
      </c>
    </row>
    <row r="27" spans="1:15">
      <c r="A27" s="252">
        <v>22</v>
      </c>
      <c r="B27" s="253" t="s">
        <v>313</v>
      </c>
      <c r="C27" s="254" t="s">
        <v>29</v>
      </c>
      <c r="D27" s="157">
        <f>D24/PERFIL!$B$6</f>
        <v>64.089772727272717</v>
      </c>
      <c r="E27" s="157">
        <f>E24/PERFIL!$B$6</f>
        <v>47.308181818181801</v>
      </c>
      <c r="F27" s="157">
        <f>F24/PERFIL!$B$6</f>
        <v>76.113181818181786</v>
      </c>
      <c r="G27" s="157">
        <f>G24/PERFIL!$B$6</f>
        <v>84.551818181818192</v>
      </c>
      <c r="H27" s="157">
        <f>H24/PERFIL!$B$6</f>
        <v>23.787045454545442</v>
      </c>
      <c r="I27" s="157">
        <f>I24/PERFIL!$B$6</f>
        <v>-14.680943181818199</v>
      </c>
      <c r="J27" s="157">
        <f>J24/PERFIL!$B$6</f>
        <v>36.346590909090892</v>
      </c>
      <c r="K27" s="157">
        <f>K24/PERFIL!$B$6</f>
        <v>0</v>
      </c>
      <c r="L27" s="157">
        <f>L24/PERFIL!$B$6</f>
        <v>0</v>
      </c>
      <c r="M27" s="157">
        <f>M24/PERFIL!$B$6</f>
        <v>0</v>
      </c>
      <c r="N27" s="157">
        <f>N24/PERFIL!$B$6</f>
        <v>0</v>
      </c>
      <c r="O27" s="157">
        <f>O24/PERFIL!$B$6</f>
        <v>0</v>
      </c>
    </row>
    <row r="28" spans="1:15">
      <c r="A28" s="252">
        <v>23</v>
      </c>
      <c r="B28" s="253" t="s">
        <v>314</v>
      </c>
      <c r="C28" s="254" t="s">
        <v>20</v>
      </c>
      <c r="D28" s="157">
        <f>D24/'DADOS TÉCNICOS MENSAIS'!C11</f>
        <v>80.570000000000007</v>
      </c>
      <c r="E28" s="157">
        <f>E24/'DADOS TÉCNICOS MENSAIS'!D11</f>
        <v>59.47314285714284</v>
      </c>
      <c r="F28" s="157">
        <f>F24/'DADOS TÉCNICOS MENSAIS'!E11</f>
        <v>133.95919999999995</v>
      </c>
      <c r="G28" s="157">
        <f>G24/'DADOS TÉCNICOS MENSAIS'!F11</f>
        <v>148.81120000000004</v>
      </c>
      <c r="H28" s="157">
        <f>H24/'DADOS TÉCNICOS MENSAIS'!G11</f>
        <v>41.86519999999998</v>
      </c>
      <c r="I28" s="157">
        <f>I24/'DADOS TÉCNICOS MENSAIS'!H11</f>
        <v>-25.838460000000033</v>
      </c>
      <c r="J28" s="157">
        <f>J24/'DADOS TÉCNICOS MENSAIS'!I11</f>
        <v>39.981249999999989</v>
      </c>
      <c r="K28" s="157" t="e">
        <f>K24/'DADOS TÉCNICOS MENSAIS'!J11</f>
        <v>#DIV/0!</v>
      </c>
      <c r="L28" s="157" t="e">
        <f>L24/'DADOS TÉCNICOS MENSAIS'!K11</f>
        <v>#DIV/0!</v>
      </c>
      <c r="M28" s="157" t="e">
        <f>M24/'DADOS TÉCNICOS MENSAIS'!L11</f>
        <v>#DIV/0!</v>
      </c>
      <c r="N28" s="157" t="e">
        <f>N24/'DADOS TÉCNICOS MENSAIS'!M11</f>
        <v>#DIV/0!</v>
      </c>
      <c r="O28" s="157" t="e">
        <f>O24/'DADOS TÉCNICOS MENSAIS'!N11</f>
        <v>#DIV/0!</v>
      </c>
    </row>
    <row r="29" spans="1:15">
      <c r="A29" s="252">
        <v>24</v>
      </c>
      <c r="B29" s="253" t="s">
        <v>315</v>
      </c>
      <c r="C29" s="254" t="s">
        <v>20</v>
      </c>
      <c r="D29" s="157">
        <f>D24/SUM('DADOS TÉCNICOS MENSAIS'!C11:C12)</f>
        <v>70.498750000000001</v>
      </c>
      <c r="E29" s="157">
        <f>E24/SUM('DADOS TÉCNICOS MENSAIS'!D11:D12)</f>
        <v>52.038999999999987</v>
      </c>
      <c r="F29" s="157">
        <f>F24/SUM('DADOS TÉCNICOS MENSAIS'!E11:E12)</f>
        <v>83.724499999999978</v>
      </c>
      <c r="G29" s="157">
        <f>G24/SUM('DADOS TÉCNICOS MENSAIS'!F11:F12)</f>
        <v>93.007000000000019</v>
      </c>
      <c r="H29" s="157">
        <f>H24/SUM('DADOS TÉCNICOS MENSAIS'!G11:G12)</f>
        <v>26.165749999999989</v>
      </c>
      <c r="I29" s="157">
        <f>I24/SUM('DADOS TÉCNICOS MENSAIS'!H11:H12)</f>
        <v>-16.14903750000002</v>
      </c>
      <c r="J29" s="157">
        <f>J24/SUM('DADOS TÉCNICOS MENSAIS'!I11:I12)</f>
        <v>29.077272727272717</v>
      </c>
      <c r="K29" s="157" t="e">
        <f>K24/SUM('DADOS TÉCNICOS MENSAIS'!J11:J12)</f>
        <v>#DIV/0!</v>
      </c>
      <c r="L29" s="157" t="e">
        <f>L24/SUM('DADOS TÉCNICOS MENSAIS'!K11:K12)</f>
        <v>#DIV/0!</v>
      </c>
      <c r="M29" s="157" t="e">
        <f>M24/SUM('DADOS TÉCNICOS MENSAIS'!L11:L12)</f>
        <v>#DIV/0!</v>
      </c>
      <c r="N29" s="157" t="e">
        <f>N24/SUM('DADOS TÉCNICOS MENSAIS'!M11:M12)</f>
        <v>#DIV/0!</v>
      </c>
      <c r="O29" s="157" t="e">
        <f>O24/SUM('DADOS TÉCNICOS MENSAIS'!N11:N12)</f>
        <v>#DIV/0!</v>
      </c>
    </row>
    <row r="30" spans="1:15">
      <c r="A30" s="252">
        <v>25</v>
      </c>
      <c r="B30" s="253" t="s">
        <v>319</v>
      </c>
      <c r="C30" s="254" t="s">
        <v>27</v>
      </c>
      <c r="D30" s="157">
        <f>D7-D13</f>
        <v>-179.89888888888891</v>
      </c>
      <c r="E30" s="157">
        <f t="shared" ref="E30:O30" si="5">E7-E13</f>
        <v>-327.57688888888924</v>
      </c>
      <c r="F30" s="157">
        <f t="shared" si="5"/>
        <v>-74.09288888888932</v>
      </c>
      <c r="G30" s="157">
        <f t="shared" si="5"/>
        <v>0.16711111111112587</v>
      </c>
      <c r="H30" s="157">
        <f t="shared" si="5"/>
        <v>-534.56288888888923</v>
      </c>
      <c r="I30" s="157">
        <f t="shared" si="5"/>
        <v>-873.0811888888893</v>
      </c>
      <c r="J30" s="157">
        <f t="shared" si="5"/>
        <v>-424.03888888888923</v>
      </c>
      <c r="K30" s="157">
        <f t="shared" si="5"/>
        <v>-743.88888888888903</v>
      </c>
      <c r="L30" s="157">
        <f t="shared" si="5"/>
        <v>-743.88888888888903</v>
      </c>
      <c r="M30" s="157">
        <f t="shared" si="5"/>
        <v>-743.88888888888903</v>
      </c>
      <c r="N30" s="157">
        <f t="shared" si="5"/>
        <v>-743.88888888888903</v>
      </c>
      <c r="O30" s="157">
        <f t="shared" si="5"/>
        <v>-743.88888888888903</v>
      </c>
    </row>
    <row r="31" spans="1:15">
      <c r="A31" s="252">
        <v>26</v>
      </c>
      <c r="B31" s="253" t="s">
        <v>316</v>
      </c>
      <c r="C31" s="254" t="s">
        <v>18</v>
      </c>
      <c r="D31" s="157">
        <f>D30/'DADOS TÉCNICOS MENSAIS'!C7</f>
        <v>-0.10824241208717744</v>
      </c>
      <c r="E31" s="157">
        <f>E30/'DADOS TÉCNICOS MENSAIS'!D7</f>
        <v>-0.22193556157783825</v>
      </c>
      <c r="F31" s="157">
        <f>F30/'DADOS TÉCNICOS MENSAIS'!E7</f>
        <v>-4.795656238763063E-2</v>
      </c>
      <c r="G31" s="157">
        <f>G30/'DADOS TÉCNICOS MENSAIS'!F7</f>
        <v>1.1604938271605962E-4</v>
      </c>
      <c r="H31" s="157">
        <f>H30/'DADOS TÉCNICOS MENSAIS'!G7</f>
        <v>-0.55805709248239821</v>
      </c>
      <c r="I31" s="157">
        <f>I30/'DADOS TÉCNICOS MENSAIS'!H7</f>
        <v>-0.69679264875410163</v>
      </c>
      <c r="J31" s="157">
        <f>J30/'DADOS TÉCNICOS MENSAIS'!I7</f>
        <v>-0.22859239293201575</v>
      </c>
      <c r="K31" s="157" t="e">
        <f>K30/'DADOS TÉCNICOS MENSAIS'!J7</f>
        <v>#DIV/0!</v>
      </c>
      <c r="L31" s="157" t="e">
        <f>L30/'DADOS TÉCNICOS MENSAIS'!K7</f>
        <v>#DIV/0!</v>
      </c>
      <c r="M31" s="157" t="e">
        <f>M30/'DADOS TÉCNICOS MENSAIS'!L7</f>
        <v>#DIV/0!</v>
      </c>
      <c r="N31" s="157" t="e">
        <f>N30/'DADOS TÉCNICOS MENSAIS'!M7</f>
        <v>#DIV/0!</v>
      </c>
      <c r="O31" s="157" t="e">
        <f>O30/'DADOS TÉCNICOS MENSAIS'!N7</f>
        <v>#DIV/0!</v>
      </c>
    </row>
    <row r="32" spans="1:15">
      <c r="A32" s="252">
        <v>27</v>
      </c>
      <c r="B32" s="253" t="s">
        <v>317</v>
      </c>
      <c r="C32" s="254" t="s">
        <v>28</v>
      </c>
      <c r="D32" s="257">
        <f>D30/D8</f>
        <v>-211.89503991624136</v>
      </c>
      <c r="E32" s="257">
        <f t="shared" ref="E32:O32" si="6">E30/E8</f>
        <v>-385.38457516339912</v>
      </c>
      <c r="F32" s="257">
        <f t="shared" si="6"/>
        <v>-82.325432098765916</v>
      </c>
      <c r="G32" s="257">
        <f t="shared" si="6"/>
        <v>0.19054858735590177</v>
      </c>
      <c r="H32" s="257">
        <f t="shared" si="6"/>
        <v>-593.95876543209909</v>
      </c>
      <c r="I32" s="257">
        <f t="shared" si="6"/>
        <v>-923.99321503745296</v>
      </c>
      <c r="J32" s="257">
        <f t="shared" si="6"/>
        <v>-446.35672514619921</v>
      </c>
      <c r="K32" s="257" t="e">
        <f t="shared" si="6"/>
        <v>#DIV/0!</v>
      </c>
      <c r="L32" s="257" t="e">
        <f t="shared" si="6"/>
        <v>#DIV/0!</v>
      </c>
      <c r="M32" s="257" t="e">
        <f t="shared" si="6"/>
        <v>#DIV/0!</v>
      </c>
      <c r="N32" s="257" t="e">
        <f t="shared" si="6"/>
        <v>#DIV/0!</v>
      </c>
      <c r="O32" s="257" t="e">
        <f t="shared" si="6"/>
        <v>#DIV/0!</v>
      </c>
    </row>
    <row r="33" spans="1:15">
      <c r="A33" s="252">
        <v>28</v>
      </c>
      <c r="B33" s="253" t="s">
        <v>318</v>
      </c>
      <c r="C33" s="254" t="s">
        <v>29</v>
      </c>
      <c r="D33" s="259">
        <f>D30/PERFIL!$B$6</f>
        <v>-20.443055555555556</v>
      </c>
      <c r="E33" s="259">
        <f>E30/PERFIL!$B$6</f>
        <v>-37.224646464646504</v>
      </c>
      <c r="F33" s="259">
        <f>F30/PERFIL!$B$6</f>
        <v>-8.4196464646465135</v>
      </c>
      <c r="G33" s="259">
        <f>G30/PERFIL!$B$6</f>
        <v>1.8989898989900666E-2</v>
      </c>
      <c r="H33" s="259">
        <f>H30/PERFIL!$B$6</f>
        <v>-60.745782828282863</v>
      </c>
      <c r="I33" s="259">
        <f>I30/PERFIL!$B$6</f>
        <v>-99.213771464646499</v>
      </c>
      <c r="J33" s="259">
        <f>J30/PERFIL!$B$6</f>
        <v>-48.186237373737406</v>
      </c>
      <c r="K33" s="259">
        <f>K30/PERFIL!$B$6</f>
        <v>-84.532828282828291</v>
      </c>
      <c r="L33" s="259">
        <f>L30/PERFIL!$B$6</f>
        <v>-84.532828282828291</v>
      </c>
      <c r="M33" s="259">
        <f>M30/PERFIL!$B$6</f>
        <v>-84.532828282828291</v>
      </c>
      <c r="N33" s="259">
        <f>N30/PERFIL!$B$6</f>
        <v>-84.532828282828291</v>
      </c>
      <c r="O33" s="259">
        <f>O30/PERFIL!$B$6</f>
        <v>-84.532828282828291</v>
      </c>
    </row>
    <row r="34" spans="1:15">
      <c r="A34" s="252">
        <v>29</v>
      </c>
      <c r="B34" s="253" t="s">
        <v>332</v>
      </c>
      <c r="C34" s="254" t="s">
        <v>27</v>
      </c>
      <c r="D34" s="157">
        <f>D7-D14</f>
        <v>-819.298888888889</v>
      </c>
      <c r="E34" s="157">
        <f t="shared" ref="E34:O34" si="7">E7-E14</f>
        <v>-966.97688888888933</v>
      </c>
      <c r="F34" s="157">
        <f t="shared" si="7"/>
        <v>-713.49288888888941</v>
      </c>
      <c r="G34" s="157">
        <f t="shared" si="7"/>
        <v>-639.23288888888874</v>
      </c>
      <c r="H34" s="157">
        <f t="shared" si="7"/>
        <v>-1173.9628888888892</v>
      </c>
      <c r="I34" s="157">
        <f t="shared" si="7"/>
        <v>-1512.4811888888894</v>
      </c>
      <c r="J34" s="157">
        <f t="shared" si="7"/>
        <v>-1063.4388888888893</v>
      </c>
      <c r="K34" s="157">
        <f t="shared" si="7"/>
        <v>-1383.288888888889</v>
      </c>
      <c r="L34" s="157">
        <f t="shared" si="7"/>
        <v>-1383.288888888889</v>
      </c>
      <c r="M34" s="157">
        <f t="shared" si="7"/>
        <v>-1383.288888888889</v>
      </c>
      <c r="N34" s="157">
        <f t="shared" si="7"/>
        <v>-1383.288888888889</v>
      </c>
      <c r="O34" s="157">
        <f t="shared" si="7"/>
        <v>-1383.288888888889</v>
      </c>
    </row>
    <row r="35" spans="1:15">
      <c r="A35" s="252">
        <v>30</v>
      </c>
      <c r="B35" s="253" t="s">
        <v>324</v>
      </c>
      <c r="C35" s="254" t="s">
        <v>18</v>
      </c>
      <c r="D35" s="157">
        <f>D34/'DADOS TÉCNICOS MENSAIS'!C7</f>
        <v>-0.49295962027008966</v>
      </c>
      <c r="E35" s="157">
        <f>E34/'DADOS TÉCNICOS MENSAIS'!D7</f>
        <v>-0.65513339355615807</v>
      </c>
      <c r="F35" s="157">
        <f>F34/'DADOS TÉCNICOS MENSAIS'!E7</f>
        <v>-0.46180769507371483</v>
      </c>
      <c r="G35" s="157">
        <f>G34/'DADOS TÉCNICOS MENSAIS'!F7</f>
        <v>-0.4439117283950616</v>
      </c>
      <c r="H35" s="157">
        <f>H34/'DADOS TÉCNICOS MENSAIS'!G7</f>
        <v>-1.225558919395437</v>
      </c>
      <c r="I35" s="157">
        <f>I34/'DADOS TÉCNICOS MENSAIS'!H7</f>
        <v>-1.2070879400549797</v>
      </c>
      <c r="J35" s="157">
        <f>J34/'DADOS TÉCNICOS MENSAIS'!I7</f>
        <v>-0.57328241988619366</v>
      </c>
      <c r="K35" s="157" t="e">
        <f>K34/'DADOS TÉCNICOS MENSAIS'!J7</f>
        <v>#DIV/0!</v>
      </c>
      <c r="L35" s="157" t="e">
        <f>L34/'DADOS TÉCNICOS MENSAIS'!K7</f>
        <v>#DIV/0!</v>
      </c>
      <c r="M35" s="157" t="e">
        <f>M34/'DADOS TÉCNICOS MENSAIS'!L7</f>
        <v>#DIV/0!</v>
      </c>
      <c r="N35" s="157" t="e">
        <f>N34/'DADOS TÉCNICOS MENSAIS'!M7</f>
        <v>#DIV/0!</v>
      </c>
      <c r="O35" s="157" t="e">
        <f>O34/'DADOS TÉCNICOS MENSAIS'!N7</f>
        <v>#DIV/0!</v>
      </c>
    </row>
    <row r="36" spans="1:15">
      <c r="A36" s="252">
        <v>31</v>
      </c>
      <c r="B36" s="253" t="s">
        <v>331</v>
      </c>
      <c r="C36" s="254" t="s">
        <v>28</v>
      </c>
      <c r="D36" s="157">
        <f>D34/D8</f>
        <v>-965.01635911529922</v>
      </c>
      <c r="E36" s="157">
        <f t="shared" ref="E36:O36" si="8">E34/E8</f>
        <v>-1137.6198692810462</v>
      </c>
      <c r="F36" s="157">
        <f t="shared" si="8"/>
        <v>-792.76987654321044</v>
      </c>
      <c r="G36" s="157">
        <f t="shared" si="8"/>
        <v>-728.88584821994141</v>
      </c>
      <c r="H36" s="157">
        <f t="shared" si="8"/>
        <v>-1304.4032098765435</v>
      </c>
      <c r="I36" s="157">
        <f t="shared" si="8"/>
        <v>-1600.6785785679854</v>
      </c>
      <c r="J36" s="157">
        <f t="shared" si="8"/>
        <v>-1119.4093567251466</v>
      </c>
      <c r="K36" s="157" t="e">
        <f t="shared" si="8"/>
        <v>#DIV/0!</v>
      </c>
      <c r="L36" s="157" t="e">
        <f t="shared" si="8"/>
        <v>#DIV/0!</v>
      </c>
      <c r="M36" s="157" t="e">
        <f t="shared" si="8"/>
        <v>#DIV/0!</v>
      </c>
      <c r="N36" s="157" t="e">
        <f t="shared" si="8"/>
        <v>#DIV/0!</v>
      </c>
      <c r="O36" s="157" t="e">
        <f t="shared" si="8"/>
        <v>#DIV/0!</v>
      </c>
    </row>
    <row r="37" spans="1:15">
      <c r="A37" s="252">
        <v>32</v>
      </c>
      <c r="B37" s="253" t="s">
        <v>22</v>
      </c>
      <c r="C37" s="254" t="s">
        <v>27</v>
      </c>
      <c r="D37" s="157">
        <f>'DADOS ECONÔMICOS MENSAIS'!D96</f>
        <v>0</v>
      </c>
      <c r="E37" s="157">
        <f>'DADOS ECONÔMICOS MENSAIS'!G96</f>
        <v>0</v>
      </c>
      <c r="F37" s="157">
        <f>'DADOS ECONÔMICOS MENSAIS'!J96</f>
        <v>0</v>
      </c>
      <c r="G37" s="157">
        <f>'DADOS ECONÔMICOS MENSAIS'!M96</f>
        <v>0</v>
      </c>
      <c r="H37" s="157">
        <f>'DADOS ECONÔMICOS MENSAIS'!P96</f>
        <v>0</v>
      </c>
      <c r="I37" s="157">
        <f>'DADOS ECONÔMICOS MENSAIS'!S96</f>
        <v>0</v>
      </c>
      <c r="J37" s="157">
        <f>'DADOS ECONÔMICOS MENSAIS'!V96</f>
        <v>0</v>
      </c>
      <c r="K37" s="157">
        <f>'DADOS ECONÔMICOS MENSAIS'!Y96</f>
        <v>0</v>
      </c>
      <c r="L37" s="157">
        <f>'DADOS ECONÔMICOS MENSAIS'!AB96</f>
        <v>0</v>
      </c>
      <c r="M37" s="157">
        <f>'DADOS ECONÔMICOS MENSAIS'!AE96</f>
        <v>0</v>
      </c>
      <c r="N37" s="157">
        <f>'DADOS ECONÔMICOS MENSAIS'!AH96</f>
        <v>0</v>
      </c>
      <c r="O37" s="157">
        <f>'DADOS ECONÔMICOS MENSAIS'!AK96</f>
        <v>0</v>
      </c>
    </row>
    <row r="38" spans="1:15" s="368" customFormat="1">
      <c r="A38" s="252">
        <v>33</v>
      </c>
      <c r="B38" s="365" t="s">
        <v>24</v>
      </c>
      <c r="C38" s="366" t="s">
        <v>342</v>
      </c>
      <c r="D38" s="367">
        <f>D34/D7*100</f>
        <v>-58.063559513555909</v>
      </c>
      <c r="E38" s="367">
        <f t="shared" ref="E38:O38" si="9">E34/E7*100</f>
        <v>-77.074516888959778</v>
      </c>
      <c r="F38" s="367">
        <f t="shared" si="9"/>
        <v>-51.311966119301644</v>
      </c>
      <c r="G38" s="367">
        <f t="shared" si="9"/>
        <v>-50.617072793051484</v>
      </c>
      <c r="H38" s="367">
        <f t="shared" si="9"/>
        <v>-136.17321326615968</v>
      </c>
      <c r="I38" s="367">
        <f t="shared" si="9"/>
        <v>-127.74769182505869</v>
      </c>
      <c r="J38" s="367">
        <f t="shared" si="9"/>
        <v>-60.345517882757228</v>
      </c>
      <c r="K38" s="367" t="e">
        <f t="shared" si="9"/>
        <v>#DIV/0!</v>
      </c>
      <c r="L38" s="367" t="e">
        <f t="shared" si="9"/>
        <v>#DIV/0!</v>
      </c>
      <c r="M38" s="367" t="e">
        <f t="shared" si="9"/>
        <v>#DIV/0!</v>
      </c>
      <c r="N38" s="367" t="e">
        <f t="shared" si="9"/>
        <v>#DIV/0!</v>
      </c>
      <c r="O38" s="367" t="e">
        <f t="shared" si="9"/>
        <v>#DIV/0!</v>
      </c>
    </row>
    <row r="39" spans="1:15" s="368" customFormat="1">
      <c r="A39" s="252">
        <v>34</v>
      </c>
      <c r="B39" s="365" t="s">
        <v>364</v>
      </c>
      <c r="C39" s="370" t="s">
        <v>9</v>
      </c>
      <c r="D39" s="367">
        <f>(D13-D12)/D25/30</f>
        <v>73.07123254746439</v>
      </c>
      <c r="E39" s="367">
        <f t="shared" ref="E39:O39" si="10">(E13-E12)/E25/30</f>
        <v>87.913231742859566</v>
      </c>
      <c r="F39" s="367">
        <f t="shared" si="10"/>
        <v>57.196934257263116</v>
      </c>
      <c r="G39" s="367">
        <f t="shared" si="10"/>
        <v>47.98921944943212</v>
      </c>
      <c r="H39" s="367">
        <f t="shared" si="10"/>
        <v>113.47072137346646</v>
      </c>
      <c r="I39" s="367">
        <f t="shared" si="10"/>
        <v>-240.49234559071422</v>
      </c>
      <c r="J39" s="367">
        <f t="shared" si="10"/>
        <v>143.80844029898284</v>
      </c>
      <c r="K39" s="367" t="e">
        <f t="shared" si="10"/>
        <v>#DIV/0!</v>
      </c>
      <c r="L39" s="367" t="e">
        <f t="shared" si="10"/>
        <v>#DIV/0!</v>
      </c>
      <c r="M39" s="367" t="e">
        <f t="shared" si="10"/>
        <v>#DIV/0!</v>
      </c>
      <c r="N39" s="367" t="e">
        <f t="shared" si="10"/>
        <v>#DIV/0!</v>
      </c>
      <c r="O39" s="367" t="e">
        <f t="shared" si="10"/>
        <v>#DIV/0!</v>
      </c>
    </row>
    <row r="40" spans="1:15" s="368" customFormat="1">
      <c r="A40" s="252">
        <v>35</v>
      </c>
      <c r="B40" s="371" t="s">
        <v>25</v>
      </c>
      <c r="C40" s="370" t="s">
        <v>9</v>
      </c>
      <c r="D40" s="367">
        <f>(D14-D12)/D25/30</f>
        <v>135.87865821104</v>
      </c>
      <c r="E40" s="367">
        <f t="shared" ref="E40:O40" si="11">(E14-E12)/E25/30</f>
        <v>163.4779043922187</v>
      </c>
      <c r="F40" s="367">
        <f t="shared" si="11"/>
        <v>106.35981370115351</v>
      </c>
      <c r="G40" s="367">
        <f t="shared" si="11"/>
        <v>89.237727626235994</v>
      </c>
      <c r="H40" s="367">
        <f t="shared" si="11"/>
        <v>211.00300116670769</v>
      </c>
      <c r="I40" s="367">
        <f t="shared" si="11"/>
        <v>-447.20440711966478</v>
      </c>
      <c r="J40" s="367">
        <f t="shared" si="11"/>
        <v>267.41711103005474</v>
      </c>
      <c r="K40" s="367" t="e">
        <f t="shared" si="11"/>
        <v>#DIV/0!</v>
      </c>
      <c r="L40" s="367" t="e">
        <f t="shared" si="11"/>
        <v>#DIV/0!</v>
      </c>
      <c r="M40" s="367" t="e">
        <f t="shared" si="11"/>
        <v>#DIV/0!</v>
      </c>
      <c r="N40" s="367" t="e">
        <f t="shared" si="11"/>
        <v>#DIV/0!</v>
      </c>
      <c r="O40" s="367" t="e">
        <f t="shared" si="11"/>
        <v>#DIV/0!</v>
      </c>
    </row>
    <row r="41" spans="1:15" s="368" customFormat="1">
      <c r="A41" s="252">
        <v>36</v>
      </c>
      <c r="B41" s="371" t="s">
        <v>26</v>
      </c>
      <c r="C41" s="372" t="s">
        <v>18</v>
      </c>
      <c r="D41" s="367">
        <f>INVENTÁRIO!$J$25/'DADOS TÉCNICOS MENSAIS'!C6</f>
        <v>2885.3790613718411</v>
      </c>
      <c r="E41" s="367">
        <f>INVENTÁRIO!$J$25/'DADOS TÉCNICOS MENSAIS'!D6</f>
        <v>3248.9837398373984</v>
      </c>
      <c r="F41" s="367">
        <f>INVENTÁRIO!$J$25/'DADOS TÉCNICOS MENSAIS'!E6</f>
        <v>3207.3462783171522</v>
      </c>
      <c r="G41" s="367">
        <f>INVENTÁRIO!$J$25/'DADOS TÉCNICOS MENSAIS'!F6</f>
        <v>3330.2083333333335</v>
      </c>
      <c r="H41" s="367">
        <f>INVENTÁRIO!$J$25/'DADOS TÉCNICOS MENSAIS'!G6</f>
        <v>5173.1391585760521</v>
      </c>
      <c r="I41" s="367">
        <f>INVENTÁRIO!$J$25/'DADOS TÉCNICOS MENSAIS'!H6</f>
        <v>3827.2146847565841</v>
      </c>
      <c r="J41" s="367">
        <f>INVENTÁRIO!$J$25/'DADOS TÉCNICOS MENSAIS'!I6</f>
        <v>2671.3477088948789</v>
      </c>
      <c r="K41" s="367" t="e">
        <f>INVENTÁRIO!$J$25/'DADOS TÉCNICOS MENSAIS'!J6</f>
        <v>#DIV/0!</v>
      </c>
      <c r="L41" s="367" t="e">
        <f>INVENTÁRIO!$J$25/'DADOS TÉCNICOS MENSAIS'!K6</f>
        <v>#DIV/0!</v>
      </c>
      <c r="M41" s="367" t="e">
        <f>INVENTÁRIO!$J$25/'DADOS TÉCNICOS MENSAIS'!L6</f>
        <v>#DIV/0!</v>
      </c>
      <c r="N41" s="367" t="e">
        <f>INVENTÁRIO!$J$25/'DADOS TÉCNICOS MENSAIS'!M6</f>
        <v>#DIV/0!</v>
      </c>
      <c r="O41" s="367" t="e">
        <f>INVENTÁRIO!$J$25/'DADOS TÉCNICOS MENSAIS'!N6</f>
        <v>#DIV/0!</v>
      </c>
    </row>
    <row r="42" spans="1:15" s="368" customFormat="1">
      <c r="A42" s="252">
        <v>37</v>
      </c>
      <c r="B42" s="365"/>
      <c r="C42" s="366"/>
      <c r="D42" s="367"/>
      <c r="E42" s="369"/>
      <c r="F42" s="369"/>
      <c r="G42" s="369"/>
      <c r="H42" s="369"/>
      <c r="I42" s="369"/>
      <c r="J42" s="369"/>
      <c r="K42" s="369"/>
      <c r="L42" s="369"/>
      <c r="M42" s="369"/>
      <c r="N42" s="369"/>
      <c r="O42" s="369"/>
    </row>
    <row r="43" spans="1:15">
      <c r="A43" s="252">
        <v>38</v>
      </c>
      <c r="B43" s="253"/>
      <c r="C43" s="254"/>
      <c r="D43" s="157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55"/>
    </row>
    <row r="44" spans="1:15">
      <c r="A44" s="252">
        <v>39</v>
      </c>
      <c r="B44" s="253"/>
      <c r="C44" s="254"/>
      <c r="D44" s="157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</row>
    <row r="45" spans="1:15">
      <c r="A45" s="252">
        <v>40</v>
      </c>
      <c r="B45" s="253"/>
      <c r="C45" s="254"/>
      <c r="D45" s="157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</row>
    <row r="46" spans="1:15">
      <c r="A46" s="252">
        <v>41</v>
      </c>
      <c r="B46" s="253"/>
      <c r="C46" s="254"/>
      <c r="D46" s="157"/>
      <c r="E46" s="255"/>
      <c r="F46" s="255"/>
      <c r="G46" s="255"/>
      <c r="H46" s="255"/>
      <c r="I46" s="255"/>
      <c r="J46" s="255"/>
      <c r="K46" s="255"/>
      <c r="L46" s="255"/>
      <c r="M46" s="255"/>
      <c r="N46" s="255"/>
      <c r="O46" s="255"/>
    </row>
    <row r="47" spans="1:15">
      <c r="A47" s="252">
        <v>42</v>
      </c>
      <c r="B47" s="253"/>
      <c r="C47" s="254"/>
      <c r="D47" s="262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</row>
    <row r="48" spans="1:15">
      <c r="A48" s="252">
        <v>43</v>
      </c>
      <c r="B48" s="253"/>
      <c r="C48" s="254"/>
      <c r="D48" s="262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</row>
    <row r="49" spans="1:15">
      <c r="A49" s="252">
        <v>44</v>
      </c>
      <c r="B49" s="253"/>
      <c r="C49" s="254"/>
      <c r="D49" s="264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</row>
    <row r="50" spans="1:15">
      <c r="A50" s="252">
        <v>45</v>
      </c>
      <c r="B50" s="253"/>
      <c r="C50" s="254"/>
      <c r="D50" s="264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</row>
    <row r="51" spans="1:15" ht="15.75" thickBot="1">
      <c r="A51" s="252">
        <v>46</v>
      </c>
      <c r="B51" s="266"/>
      <c r="C51" s="267"/>
      <c r="D51" s="268"/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</row>
    <row r="52" spans="1:15">
      <c r="A52" s="270"/>
      <c r="B52" s="271"/>
      <c r="C52" s="272"/>
      <c r="D5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N62"/>
  <sheetViews>
    <sheetView workbookViewId="0">
      <pane xSplit="1" topLeftCell="B1" activePane="topRight" state="frozen"/>
      <selection pane="topRight" activeCell="C23" sqref="C23"/>
    </sheetView>
  </sheetViews>
  <sheetFormatPr defaultRowHeight="1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>
      <c r="A1" s="243"/>
      <c r="B1" s="243"/>
      <c r="C1" s="243"/>
    </row>
    <row r="2" spans="1:14" ht="15" customHeight="1">
      <c r="A2" s="539" t="s">
        <v>371</v>
      </c>
      <c r="B2" s="275"/>
      <c r="C2" s="275"/>
    </row>
    <row r="3" spans="1:14" ht="18.75" customHeight="1">
      <c r="A3" s="539"/>
      <c r="B3" s="275"/>
      <c r="C3" s="275"/>
    </row>
    <row r="4" spans="1:14" ht="15.75" customHeight="1" thickBot="1">
      <c r="A4" s="541"/>
      <c r="B4" s="276"/>
      <c r="C4" s="276"/>
    </row>
    <row r="5" spans="1:14" s="251" customFormat="1">
      <c r="A5" s="247" t="s">
        <v>2</v>
      </c>
      <c r="B5" s="277" t="s">
        <v>3</v>
      </c>
      <c r="C5" s="249" t="s">
        <v>4</v>
      </c>
      <c r="D5" s="250" t="s">
        <v>5</v>
      </c>
      <c r="E5" s="250" t="s">
        <v>6</v>
      </c>
      <c r="F5" s="250" t="s">
        <v>7</v>
      </c>
      <c r="G5" s="250" t="s">
        <v>8</v>
      </c>
      <c r="H5" s="250" t="s">
        <v>41</v>
      </c>
      <c r="I5" s="250" t="s">
        <v>42</v>
      </c>
      <c r="J5" s="250" t="s">
        <v>53</v>
      </c>
      <c r="K5" s="250" t="s">
        <v>44</v>
      </c>
      <c r="L5" s="250" t="s">
        <v>45</v>
      </c>
      <c r="M5" s="250" t="s">
        <v>46</v>
      </c>
      <c r="N5" s="250" t="s">
        <v>47</v>
      </c>
    </row>
    <row r="6" spans="1:14" s="251" customFormat="1">
      <c r="A6" s="278" t="s">
        <v>115</v>
      </c>
      <c r="B6" s="277"/>
      <c r="C6" s="279"/>
      <c r="D6" s="280"/>
      <c r="E6" s="280"/>
      <c r="F6" s="280"/>
      <c r="G6" s="280"/>
      <c r="H6" s="280"/>
      <c r="I6" s="280"/>
      <c r="J6" s="280"/>
      <c r="K6" s="280"/>
      <c r="L6" s="280"/>
      <c r="M6" s="280"/>
      <c r="N6" s="280"/>
    </row>
    <row r="7" spans="1:14">
      <c r="A7" s="253" t="s">
        <v>223</v>
      </c>
      <c r="B7" s="254" t="s">
        <v>9</v>
      </c>
      <c r="C7" s="363">
        <f>'DADOS TÉCNICOS MENSAIS'!C7</f>
        <v>1662</v>
      </c>
      <c r="D7" s="363">
        <f>'DADOS TÉCNICOS MENSAIS'!D7</f>
        <v>1476</v>
      </c>
      <c r="E7" s="363">
        <f>'DADOS TÉCNICOS MENSAIS'!E7</f>
        <v>1545</v>
      </c>
      <c r="F7" s="363">
        <f>'DADOS TÉCNICOS MENSAIS'!F7</f>
        <v>1440</v>
      </c>
      <c r="G7" s="363">
        <f>'DADOS TÉCNICOS MENSAIS'!G7</f>
        <v>957.9</v>
      </c>
      <c r="H7" s="363">
        <f>'DADOS TÉCNICOS MENSAIS'!H7</f>
        <v>1253</v>
      </c>
      <c r="I7" s="363">
        <f>'DADOS TÉCNICOS MENSAIS'!I7</f>
        <v>1855</v>
      </c>
      <c r="J7" s="363">
        <f>'DADOS TÉCNICOS MENSAIS'!J7</f>
        <v>0</v>
      </c>
      <c r="K7" s="363">
        <f>'DADOS TÉCNICOS MENSAIS'!K7</f>
        <v>0</v>
      </c>
      <c r="L7" s="363">
        <f>'DADOS TÉCNICOS MENSAIS'!L7</f>
        <v>0</v>
      </c>
      <c r="M7" s="363">
        <f>'DADOS TÉCNICOS MENSAIS'!M7</f>
        <v>0</v>
      </c>
      <c r="N7" s="363">
        <f>'DADOS TÉCNICOS MENSAIS'!N7</f>
        <v>0</v>
      </c>
    </row>
    <row r="8" spans="1:14">
      <c r="A8" s="253" t="s">
        <v>10</v>
      </c>
      <c r="B8" s="254" t="s">
        <v>11</v>
      </c>
      <c r="C8" s="157">
        <f>PERFIL!$B$6</f>
        <v>8.8000000000000007</v>
      </c>
      <c r="D8" s="157">
        <f>PERFIL!$B$6</f>
        <v>8.8000000000000007</v>
      </c>
      <c r="E8" s="157">
        <f>PERFIL!$B$6</f>
        <v>8.8000000000000007</v>
      </c>
      <c r="F8" s="157">
        <f>PERFIL!$B$6</f>
        <v>8.8000000000000007</v>
      </c>
      <c r="G8" s="157">
        <f>PERFIL!$B$6</f>
        <v>8.8000000000000007</v>
      </c>
      <c r="H8" s="157">
        <f>PERFIL!$B$6</f>
        <v>8.8000000000000007</v>
      </c>
      <c r="I8" s="157">
        <f>PERFIL!$B$6</f>
        <v>8.8000000000000007</v>
      </c>
      <c r="J8" s="157">
        <f>PERFIL!$B$6</f>
        <v>8.8000000000000007</v>
      </c>
      <c r="K8" s="157">
        <f>PERFIL!$B$6</f>
        <v>8.8000000000000007</v>
      </c>
      <c r="L8" s="157">
        <f>PERFIL!$B$6</f>
        <v>8.8000000000000007</v>
      </c>
      <c r="M8" s="157">
        <f>PERFIL!$B$6</f>
        <v>8.8000000000000007</v>
      </c>
      <c r="N8" s="157">
        <f>PERFIL!$B$6</f>
        <v>8.8000000000000007</v>
      </c>
    </row>
    <row r="9" spans="1:14">
      <c r="A9" s="253" t="s">
        <v>328</v>
      </c>
      <c r="B9" s="254"/>
      <c r="C9" s="157">
        <f>SUM('DADOS TÉCNICOS MENSAIS'!C11:C16)</f>
        <v>20</v>
      </c>
      <c r="D9" s="157">
        <f>SUM('DADOS TÉCNICOS MENSAIS'!D11:D16)</f>
        <v>20</v>
      </c>
      <c r="E9" s="157">
        <f>SUM('DADOS TÉCNICOS MENSAIS'!E11:E16)</f>
        <v>20</v>
      </c>
      <c r="F9" s="157">
        <f>SUM('DADOS TÉCNICOS MENSAIS'!F11:F16)</f>
        <v>20</v>
      </c>
      <c r="G9" s="157">
        <f>SUM('DADOS TÉCNICOS MENSAIS'!G11:G16)</f>
        <v>20</v>
      </c>
      <c r="H9" s="157">
        <f>SUM('DADOS TÉCNICOS MENSAIS'!H11:H16)</f>
        <v>20</v>
      </c>
      <c r="I9" s="157">
        <f>SUM('DADOS TÉCNICOS MENSAIS'!I11:I16)</f>
        <v>21</v>
      </c>
      <c r="J9" s="157">
        <f>SUM('DADOS TÉCNICOS MENSAIS'!J11:J16)</f>
        <v>0</v>
      </c>
      <c r="K9" s="157">
        <f>SUM('DADOS TÉCNICOS MENSAIS'!K11:K16)</f>
        <v>0</v>
      </c>
      <c r="L9" s="157">
        <f>SUM('DADOS TÉCNICOS MENSAIS'!L11:L16)</f>
        <v>0</v>
      </c>
      <c r="M9" s="157">
        <f>SUM('DADOS TÉCNICOS MENSAIS'!M11:M16)</f>
        <v>0</v>
      </c>
      <c r="N9" s="157">
        <f>SUM('DADOS TÉCNICOS MENSAIS'!N11:N16)</f>
        <v>0</v>
      </c>
    </row>
    <row r="10" spans="1:14">
      <c r="A10" s="253" t="s">
        <v>128</v>
      </c>
      <c r="B10" s="254" t="s">
        <v>363</v>
      </c>
      <c r="C10" s="363">
        <f>SUM('DADOS TÉCNICOS MENSAIS'!C11:C12)</f>
        <v>8</v>
      </c>
      <c r="D10" s="363">
        <f>SUM('DADOS TÉCNICOS MENSAIS'!D11:D12)</f>
        <v>8</v>
      </c>
      <c r="E10" s="363">
        <f>SUM('DADOS TÉCNICOS MENSAIS'!E11:E12)</f>
        <v>8</v>
      </c>
      <c r="F10" s="363">
        <f>SUM('DADOS TÉCNICOS MENSAIS'!F11:F12)</f>
        <v>8</v>
      </c>
      <c r="G10" s="363">
        <f>SUM('DADOS TÉCNICOS MENSAIS'!G11:G12)</f>
        <v>8</v>
      </c>
      <c r="H10" s="363">
        <f>SUM('DADOS TÉCNICOS MENSAIS'!H11:H12)</f>
        <v>8</v>
      </c>
      <c r="I10" s="363">
        <f>SUM('DADOS TÉCNICOS MENSAIS'!I11:I12)</f>
        <v>11</v>
      </c>
      <c r="J10" s="363">
        <f>SUM('DADOS TÉCNICOS MENSAIS'!J11:J12)</f>
        <v>0</v>
      </c>
      <c r="K10" s="363">
        <f>SUM('DADOS TÉCNICOS MENSAIS'!K11:K12)</f>
        <v>0</v>
      </c>
      <c r="L10" s="363">
        <f>SUM('DADOS TÉCNICOS MENSAIS'!L11:L12)</f>
        <v>0</v>
      </c>
      <c r="M10" s="363">
        <f>SUM('DADOS TÉCNICOS MENSAIS'!M11:M12)</f>
        <v>0</v>
      </c>
      <c r="N10" s="363">
        <f>SUM('DADOS TÉCNICOS MENSAIS'!N11:N12)</f>
        <v>0</v>
      </c>
    </row>
    <row r="11" spans="1:14">
      <c r="A11" s="253" t="s">
        <v>129</v>
      </c>
      <c r="B11" s="254" t="s">
        <v>363</v>
      </c>
      <c r="C11" s="363">
        <f>'DADOS TÉCNICOS MENSAIS'!C11</f>
        <v>7</v>
      </c>
      <c r="D11" s="363">
        <f>'DADOS TÉCNICOS MENSAIS'!D11</f>
        <v>7</v>
      </c>
      <c r="E11" s="363">
        <f>'DADOS TÉCNICOS MENSAIS'!E11</f>
        <v>5</v>
      </c>
      <c r="F11" s="363">
        <f>'DADOS TÉCNICOS MENSAIS'!F11</f>
        <v>5</v>
      </c>
      <c r="G11" s="363">
        <f>'DADOS TÉCNICOS MENSAIS'!G11</f>
        <v>5</v>
      </c>
      <c r="H11" s="363">
        <f>'DADOS TÉCNICOS MENSAIS'!H11</f>
        <v>5</v>
      </c>
      <c r="I11" s="363">
        <f>'DADOS TÉCNICOS MENSAIS'!I11</f>
        <v>8</v>
      </c>
      <c r="J11" s="363">
        <f>'DADOS TÉCNICOS MENSAIS'!J11</f>
        <v>0</v>
      </c>
      <c r="K11" s="363">
        <f>'DADOS TÉCNICOS MENSAIS'!K11</f>
        <v>0</v>
      </c>
      <c r="L11" s="363">
        <f>'DADOS TÉCNICOS MENSAIS'!L11</f>
        <v>0</v>
      </c>
      <c r="M11" s="363">
        <f>'DADOS TÉCNICOS MENSAIS'!M11</f>
        <v>0</v>
      </c>
      <c r="N11" s="363">
        <f>'DADOS TÉCNICOS MENSAIS'!N11</f>
        <v>0</v>
      </c>
    </row>
    <row r="12" spans="1:14">
      <c r="A12" s="253" t="s">
        <v>122</v>
      </c>
      <c r="B12" s="254" t="s">
        <v>363</v>
      </c>
      <c r="C12" s="363">
        <f>'DADOS TÉCNICOS MENSAIS'!C12</f>
        <v>1</v>
      </c>
      <c r="D12" s="363">
        <f>'DADOS TÉCNICOS MENSAIS'!D12</f>
        <v>1</v>
      </c>
      <c r="E12" s="363">
        <f>'DADOS TÉCNICOS MENSAIS'!E12</f>
        <v>3</v>
      </c>
      <c r="F12" s="363">
        <f>'DADOS TÉCNICOS MENSAIS'!F12</f>
        <v>3</v>
      </c>
      <c r="G12" s="363">
        <f>'DADOS TÉCNICOS MENSAIS'!G12</f>
        <v>3</v>
      </c>
      <c r="H12" s="363">
        <f>'DADOS TÉCNICOS MENSAIS'!H12</f>
        <v>3</v>
      </c>
      <c r="I12" s="363">
        <f>'DADOS TÉCNICOS MENSAIS'!I12</f>
        <v>3</v>
      </c>
      <c r="J12" s="363">
        <f>'DADOS TÉCNICOS MENSAIS'!J12</f>
        <v>0</v>
      </c>
      <c r="K12" s="363">
        <f>'DADOS TÉCNICOS MENSAIS'!K12</f>
        <v>0</v>
      </c>
      <c r="L12" s="363">
        <f>'DADOS TÉCNICOS MENSAIS'!L12</f>
        <v>0</v>
      </c>
      <c r="M12" s="363">
        <f>'DADOS TÉCNICOS MENSAIS'!M12</f>
        <v>0</v>
      </c>
      <c r="N12" s="363">
        <f>'DADOS TÉCNICOS MENSAIS'!N12</f>
        <v>0</v>
      </c>
    </row>
    <row r="13" spans="1:14">
      <c r="A13" s="253" t="s">
        <v>246</v>
      </c>
      <c r="B13" s="254" t="s">
        <v>363</v>
      </c>
      <c r="C13" s="363">
        <f>'DADOS TÉCNICOS MENSAIS'!C13</f>
        <v>7</v>
      </c>
      <c r="D13" s="363">
        <f>'DADOS TÉCNICOS MENSAIS'!D13</f>
        <v>7</v>
      </c>
      <c r="E13" s="363">
        <f>'DADOS TÉCNICOS MENSAIS'!E13</f>
        <v>7</v>
      </c>
      <c r="F13" s="363">
        <f>'DADOS TÉCNICOS MENSAIS'!F13</f>
        <v>7</v>
      </c>
      <c r="G13" s="363">
        <f>'DADOS TÉCNICOS MENSAIS'!G13</f>
        <v>7</v>
      </c>
      <c r="H13" s="363">
        <f>'DADOS TÉCNICOS MENSAIS'!H13</f>
        <v>7</v>
      </c>
      <c r="I13" s="363">
        <f>'DADOS TÉCNICOS MENSAIS'!I13</f>
        <v>3</v>
      </c>
      <c r="J13" s="363">
        <f>'DADOS TÉCNICOS MENSAIS'!J13</f>
        <v>0</v>
      </c>
      <c r="K13" s="363">
        <f>'DADOS TÉCNICOS MENSAIS'!K13</f>
        <v>0</v>
      </c>
      <c r="L13" s="363">
        <f>'DADOS TÉCNICOS MENSAIS'!L13</f>
        <v>0</v>
      </c>
      <c r="M13" s="363">
        <f>'DADOS TÉCNICOS MENSAIS'!M13</f>
        <v>0</v>
      </c>
      <c r="N13" s="363">
        <f>'DADOS TÉCNICOS MENSAIS'!N13</f>
        <v>0</v>
      </c>
    </row>
    <row r="14" spans="1:14">
      <c r="A14" s="253" t="s">
        <v>325</v>
      </c>
      <c r="B14" s="254" t="s">
        <v>363</v>
      </c>
      <c r="C14" s="363">
        <f>'DADOS TÉCNICOS MENSAIS'!C14</f>
        <v>0</v>
      </c>
      <c r="D14" s="363">
        <f>'DADOS TÉCNICOS MENSAIS'!D14</f>
        <v>0</v>
      </c>
      <c r="E14" s="363">
        <f>'DADOS TÉCNICOS MENSAIS'!E14</f>
        <v>0</v>
      </c>
      <c r="F14" s="363">
        <f>'DADOS TÉCNICOS MENSAIS'!F14</f>
        <v>0</v>
      </c>
      <c r="G14" s="363">
        <f>'DADOS TÉCNICOS MENSAIS'!G14</f>
        <v>0</v>
      </c>
      <c r="H14" s="363">
        <f>'DADOS TÉCNICOS MENSAIS'!H14</f>
        <v>0</v>
      </c>
      <c r="I14" s="363">
        <f>'DADOS TÉCNICOS MENSAIS'!I14</f>
        <v>3</v>
      </c>
      <c r="J14" s="363">
        <f>'DADOS TÉCNICOS MENSAIS'!J14</f>
        <v>0</v>
      </c>
      <c r="K14" s="363">
        <f>'DADOS TÉCNICOS MENSAIS'!K14</f>
        <v>0</v>
      </c>
      <c r="L14" s="363">
        <f>'DADOS TÉCNICOS MENSAIS'!L14</f>
        <v>0</v>
      </c>
      <c r="M14" s="363">
        <f>'DADOS TÉCNICOS MENSAIS'!M14</f>
        <v>0</v>
      </c>
      <c r="N14" s="363">
        <f>'DADOS TÉCNICOS MENSAIS'!N14</f>
        <v>0</v>
      </c>
    </row>
    <row r="15" spans="1:14">
      <c r="A15" s="253" t="s">
        <v>326</v>
      </c>
      <c r="B15" s="254" t="s">
        <v>363</v>
      </c>
      <c r="C15" s="363">
        <f>'DADOS TÉCNICOS MENSAIS'!C15</f>
        <v>4</v>
      </c>
      <c r="D15" s="363">
        <f>'DADOS TÉCNICOS MENSAIS'!D15</f>
        <v>4</v>
      </c>
      <c r="E15" s="363">
        <f>'DADOS TÉCNICOS MENSAIS'!E15</f>
        <v>4</v>
      </c>
      <c r="F15" s="363">
        <f>'DADOS TÉCNICOS MENSAIS'!F15</f>
        <v>4</v>
      </c>
      <c r="G15" s="363">
        <f>'DADOS TÉCNICOS MENSAIS'!G15</f>
        <v>4</v>
      </c>
      <c r="H15" s="363">
        <f>'DADOS TÉCNICOS MENSAIS'!H15</f>
        <v>4</v>
      </c>
      <c r="I15" s="363">
        <f>'DADOS TÉCNICOS MENSAIS'!I15</f>
        <v>3</v>
      </c>
      <c r="J15" s="363">
        <f>'DADOS TÉCNICOS MENSAIS'!J15</f>
        <v>0</v>
      </c>
      <c r="K15" s="363">
        <f>'DADOS TÉCNICOS MENSAIS'!K15</f>
        <v>0</v>
      </c>
      <c r="L15" s="363">
        <f>'DADOS TÉCNICOS MENSAIS'!L15</f>
        <v>0</v>
      </c>
      <c r="M15" s="363">
        <f>'DADOS TÉCNICOS MENSAIS'!M15</f>
        <v>0</v>
      </c>
      <c r="N15" s="363">
        <f>'DADOS TÉCNICOS MENSAIS'!N15</f>
        <v>0</v>
      </c>
    </row>
    <row r="16" spans="1:14">
      <c r="A16" s="253" t="s">
        <v>123</v>
      </c>
      <c r="B16" s="254" t="s">
        <v>363</v>
      </c>
      <c r="C16" s="363">
        <f>'DADOS TÉCNICOS MENSAIS'!C16</f>
        <v>1</v>
      </c>
      <c r="D16" s="363">
        <f>'DADOS TÉCNICOS MENSAIS'!D16</f>
        <v>1</v>
      </c>
      <c r="E16" s="363">
        <f>'DADOS TÉCNICOS MENSAIS'!E16</f>
        <v>1</v>
      </c>
      <c r="F16" s="363">
        <f>'DADOS TÉCNICOS MENSAIS'!F16</f>
        <v>1</v>
      </c>
      <c r="G16" s="363">
        <f>'DADOS TÉCNICOS MENSAIS'!G16</f>
        <v>1</v>
      </c>
      <c r="H16" s="363">
        <f>'DADOS TÉCNICOS MENSAIS'!H16</f>
        <v>1</v>
      </c>
      <c r="I16" s="363">
        <f>'DADOS TÉCNICOS MENSAIS'!I16</f>
        <v>1</v>
      </c>
      <c r="J16" s="363">
        <f>'DADOS TÉCNICOS MENSAIS'!J16</f>
        <v>0</v>
      </c>
      <c r="K16" s="363">
        <f>'DADOS TÉCNICOS MENSAIS'!K16</f>
        <v>0</v>
      </c>
      <c r="L16" s="363">
        <f>'DADOS TÉCNICOS MENSAIS'!L16</f>
        <v>0</v>
      </c>
      <c r="M16" s="363">
        <f>'DADOS TÉCNICOS MENSAIS'!M16</f>
        <v>0</v>
      </c>
      <c r="N16" s="363">
        <f>'DADOS TÉCNICOS MENSAIS'!N16</f>
        <v>0</v>
      </c>
    </row>
    <row r="17" spans="1:14">
      <c r="A17" s="281" t="s">
        <v>55</v>
      </c>
      <c r="B17" s="254" t="s">
        <v>363</v>
      </c>
      <c r="C17" s="363">
        <f>'DADOS TÉCNICOS MENSAIS'!C17</f>
        <v>0</v>
      </c>
      <c r="D17" s="363">
        <f>'DADOS TÉCNICOS MENSAIS'!D17</f>
        <v>0</v>
      </c>
      <c r="E17" s="363">
        <f>'DADOS TÉCNICOS MENSAIS'!E17</f>
        <v>0</v>
      </c>
      <c r="F17" s="363">
        <f>'DADOS TÉCNICOS MENSAIS'!F17</f>
        <v>0</v>
      </c>
      <c r="G17" s="363">
        <f>'DADOS TÉCNICOS MENSAIS'!G17</f>
        <v>0</v>
      </c>
      <c r="H17" s="363">
        <f>'DADOS TÉCNICOS MENSAIS'!H17</f>
        <v>0</v>
      </c>
      <c r="I17" s="363">
        <f>'DADOS TÉCNICOS MENSAIS'!I17</f>
        <v>0</v>
      </c>
      <c r="J17" s="363">
        <f>'DADOS TÉCNICOS MENSAIS'!J17</f>
        <v>0</v>
      </c>
      <c r="K17" s="363">
        <f>'DADOS TÉCNICOS MENSAIS'!K17</f>
        <v>0</v>
      </c>
      <c r="L17" s="363">
        <f>'DADOS TÉCNICOS MENSAIS'!L17</f>
        <v>0</v>
      </c>
      <c r="M17" s="363">
        <f>'DADOS TÉCNICOS MENSAIS'!M17</f>
        <v>0</v>
      </c>
      <c r="N17" s="363">
        <f>'DADOS TÉCNICOS MENSAIS'!N17</f>
        <v>0</v>
      </c>
    </row>
    <row r="18" spans="1:14">
      <c r="A18" s="253" t="s">
        <v>327</v>
      </c>
      <c r="B18" s="254" t="s">
        <v>12</v>
      </c>
      <c r="C18" s="256">
        <f>C11/C10</f>
        <v>0.875</v>
      </c>
      <c r="D18" s="256">
        <f t="shared" ref="D18:N18" si="0">D11/D10</f>
        <v>0.875</v>
      </c>
      <c r="E18" s="256">
        <f t="shared" si="0"/>
        <v>0.625</v>
      </c>
      <c r="F18" s="256">
        <f t="shared" si="0"/>
        <v>0.625</v>
      </c>
      <c r="G18" s="256">
        <f t="shared" si="0"/>
        <v>0.625</v>
      </c>
      <c r="H18" s="256">
        <f t="shared" si="0"/>
        <v>0.625</v>
      </c>
      <c r="I18" s="256">
        <f t="shared" si="0"/>
        <v>0.72727272727272729</v>
      </c>
      <c r="J18" s="256" t="e">
        <f t="shared" si="0"/>
        <v>#DIV/0!</v>
      </c>
      <c r="K18" s="256" t="e">
        <f t="shared" si="0"/>
        <v>#DIV/0!</v>
      </c>
      <c r="L18" s="256" t="e">
        <f t="shared" si="0"/>
        <v>#DIV/0!</v>
      </c>
      <c r="M18" s="256" t="e">
        <f t="shared" si="0"/>
        <v>#DIV/0!</v>
      </c>
      <c r="N18" s="256" t="e">
        <f t="shared" si="0"/>
        <v>#DIV/0!</v>
      </c>
    </row>
    <row r="19" spans="1:14">
      <c r="A19" s="253" t="s">
        <v>13</v>
      </c>
      <c r="B19" s="254" t="s">
        <v>12</v>
      </c>
      <c r="C19" s="256">
        <f>C11/C9</f>
        <v>0.35</v>
      </c>
      <c r="D19" s="256">
        <f t="shared" ref="D19:N19" si="1">D11/D9</f>
        <v>0.35</v>
      </c>
      <c r="E19" s="256">
        <f t="shared" si="1"/>
        <v>0.25</v>
      </c>
      <c r="F19" s="256">
        <f t="shared" si="1"/>
        <v>0.25</v>
      </c>
      <c r="G19" s="256">
        <f t="shared" si="1"/>
        <v>0.25</v>
      </c>
      <c r="H19" s="256">
        <f t="shared" si="1"/>
        <v>0.25</v>
      </c>
      <c r="I19" s="256">
        <f t="shared" si="1"/>
        <v>0.38095238095238093</v>
      </c>
      <c r="J19" s="256" t="e">
        <f t="shared" si="1"/>
        <v>#DIV/0!</v>
      </c>
      <c r="K19" s="256" t="e">
        <f t="shared" si="1"/>
        <v>#DIV/0!</v>
      </c>
      <c r="L19" s="256" t="e">
        <f t="shared" si="1"/>
        <v>#DIV/0!</v>
      </c>
      <c r="M19" s="256" t="e">
        <f t="shared" si="1"/>
        <v>#DIV/0!</v>
      </c>
      <c r="N19" s="256" t="e">
        <f t="shared" si="1"/>
        <v>#DIV/0!</v>
      </c>
    </row>
    <row r="20" spans="1:14">
      <c r="A20" s="253" t="s">
        <v>338</v>
      </c>
      <c r="B20" s="254" t="s">
        <v>339</v>
      </c>
      <c r="C20" s="157">
        <f>C11/C8</f>
        <v>0.79545454545454541</v>
      </c>
      <c r="D20" s="157">
        <f t="shared" ref="D20:N20" si="2">D11/D8</f>
        <v>0.79545454545454541</v>
      </c>
      <c r="E20" s="157">
        <f t="shared" si="2"/>
        <v>0.56818181818181812</v>
      </c>
      <c r="F20" s="157">
        <f t="shared" si="2"/>
        <v>0.56818181818181812</v>
      </c>
      <c r="G20" s="157">
        <f t="shared" si="2"/>
        <v>0.56818181818181812</v>
      </c>
      <c r="H20" s="157">
        <f t="shared" si="2"/>
        <v>0.56818181818181812</v>
      </c>
      <c r="I20" s="157">
        <f t="shared" si="2"/>
        <v>0.90909090909090906</v>
      </c>
      <c r="J20" s="157">
        <f t="shared" si="2"/>
        <v>0</v>
      </c>
      <c r="K20" s="157">
        <f t="shared" si="2"/>
        <v>0</v>
      </c>
      <c r="L20" s="157">
        <f t="shared" si="2"/>
        <v>0</v>
      </c>
      <c r="M20" s="157">
        <f t="shared" si="2"/>
        <v>0</v>
      </c>
      <c r="N20" s="157">
        <f t="shared" si="2"/>
        <v>0</v>
      </c>
    </row>
    <row r="21" spans="1:14">
      <c r="A21" s="253" t="s">
        <v>367</v>
      </c>
      <c r="B21" s="254"/>
      <c r="C21" s="157">
        <f>C11/'DADOS ECONÔMICOS MENSAIS'!B16</f>
        <v>1.4</v>
      </c>
      <c r="D21" s="157">
        <f>D11/'DADOS ECONÔMICOS MENSAIS'!E16</f>
        <v>1.75</v>
      </c>
      <c r="E21" s="157">
        <f>E11/'DADOS ECONÔMICOS MENSAIS'!H16</f>
        <v>1.25</v>
      </c>
      <c r="F21" s="157" t="e">
        <f>F11/'DADOS ECONÔMICOS MENSAIS'!K16</f>
        <v>#DIV/0!</v>
      </c>
      <c r="G21" s="157" t="e">
        <f>G11/'DADOS ECONÔMICOS MENSAIS'!N16</f>
        <v>#DIV/0!</v>
      </c>
      <c r="H21" s="157">
        <f>H11/'DADOS ECONÔMICOS MENSAIS'!Q16</f>
        <v>1.25</v>
      </c>
      <c r="I21" s="157">
        <f>I11/'DADOS ECONÔMICOS MENSAIS'!T16</f>
        <v>8</v>
      </c>
      <c r="J21" s="157" t="e">
        <f>J11/'DADOS ECONÔMICOS MENSAIS'!W16</f>
        <v>#DIV/0!</v>
      </c>
      <c r="K21" s="157" t="e">
        <f>K11/'DADOS ECONÔMICOS MENSAIS'!Z16</f>
        <v>#DIV/0!</v>
      </c>
      <c r="L21" s="157" t="e">
        <f>L11/'DADOS ECONÔMICOS MENSAIS'!AC16</f>
        <v>#DIV/0!</v>
      </c>
      <c r="M21" s="157" t="e">
        <f>M11/'DADOS ECONÔMICOS MENSAIS'!AF16</f>
        <v>#DIV/0!</v>
      </c>
      <c r="N21" s="157" t="e">
        <f>N11/'DADOS ECONÔMICOS MENSAIS'!AI16</f>
        <v>#DIV/0!</v>
      </c>
    </row>
    <row r="22" spans="1:14">
      <c r="A22" s="253" t="s">
        <v>340</v>
      </c>
      <c r="B22" s="254" t="s">
        <v>9</v>
      </c>
      <c r="C22" s="157">
        <f>C7/C11/30</f>
        <v>7.9142857142857137</v>
      </c>
      <c r="D22" s="157">
        <f t="shared" ref="D22:N22" si="3">D7/D11/30</f>
        <v>7.0285714285714285</v>
      </c>
      <c r="E22" s="157">
        <f t="shared" si="3"/>
        <v>10.3</v>
      </c>
      <c r="F22" s="157">
        <f t="shared" si="3"/>
        <v>9.6</v>
      </c>
      <c r="G22" s="157">
        <f t="shared" si="3"/>
        <v>6.3859999999999992</v>
      </c>
      <c r="H22" s="157">
        <f t="shared" si="3"/>
        <v>8.3533333333333335</v>
      </c>
      <c r="I22" s="157">
        <f t="shared" si="3"/>
        <v>7.729166666666667</v>
      </c>
      <c r="J22" s="157" t="e">
        <f t="shared" si="3"/>
        <v>#DIV/0!</v>
      </c>
      <c r="K22" s="157" t="e">
        <f t="shared" si="3"/>
        <v>#DIV/0!</v>
      </c>
      <c r="L22" s="157" t="e">
        <f t="shared" si="3"/>
        <v>#DIV/0!</v>
      </c>
      <c r="M22" s="157" t="e">
        <f t="shared" si="3"/>
        <v>#DIV/0!</v>
      </c>
      <c r="N22" s="157" t="e">
        <f t="shared" si="3"/>
        <v>#DIV/0!</v>
      </c>
    </row>
    <row r="23" spans="1:14">
      <c r="A23" s="253" t="s">
        <v>343</v>
      </c>
      <c r="B23" s="254" t="s">
        <v>14</v>
      </c>
      <c r="C23" s="257">
        <f>C7/'DADOS ECONÔMICOS MENSAIS'!B16</f>
        <v>332.4</v>
      </c>
      <c r="D23" s="257">
        <f>D7/'DADOS ECONÔMICOS MENSAIS'!E16</f>
        <v>369</v>
      </c>
      <c r="E23" s="257">
        <f>E7/'DADOS ECONÔMICOS MENSAIS'!H16</f>
        <v>386.25</v>
      </c>
      <c r="F23" s="257" t="e">
        <f>F7/'DADOS ECONÔMICOS MENSAIS'!K16</f>
        <v>#DIV/0!</v>
      </c>
      <c r="G23" s="257" t="e">
        <f>G7/'DADOS ECONÔMICOS MENSAIS'!N16</f>
        <v>#DIV/0!</v>
      </c>
      <c r="H23" s="257">
        <f>H7/'DADOS ECONÔMICOS MENSAIS'!Q16</f>
        <v>313.25</v>
      </c>
      <c r="I23" s="257">
        <f>I7/'DADOS ECONÔMICOS MENSAIS'!T16</f>
        <v>1855</v>
      </c>
      <c r="J23" s="257" t="e">
        <f>J7/'DADOS ECONÔMICOS MENSAIS'!W16</f>
        <v>#DIV/0!</v>
      </c>
      <c r="K23" s="257" t="e">
        <f>K7/'DADOS ECONÔMICOS MENSAIS'!Z16</f>
        <v>#DIV/0!</v>
      </c>
      <c r="L23" s="257" t="e">
        <f>L7/'DADOS ECONÔMICOS MENSAIS'!AC16</f>
        <v>#DIV/0!</v>
      </c>
      <c r="M23" s="257" t="e">
        <f>M7/'DADOS ECONÔMICOS MENSAIS'!AF16</f>
        <v>#DIV/0!</v>
      </c>
      <c r="N23" s="257" t="e">
        <f>N7/'DADOS ECONÔMICOS MENSAIS'!AI16</f>
        <v>#DIV/0!</v>
      </c>
    </row>
    <row r="24" spans="1:14">
      <c r="A24" s="253" t="s">
        <v>15</v>
      </c>
      <c r="B24" s="254" t="s">
        <v>344</v>
      </c>
      <c r="C24" s="259">
        <f>C7/C8</f>
        <v>188.86363636363635</v>
      </c>
      <c r="D24" s="259">
        <f t="shared" ref="D24:N24" si="4">D7/D8</f>
        <v>167.72727272727272</v>
      </c>
      <c r="E24" s="259">
        <f t="shared" si="4"/>
        <v>175.56818181818181</v>
      </c>
      <c r="F24" s="259">
        <f t="shared" si="4"/>
        <v>163.63636363636363</v>
      </c>
      <c r="G24" s="259">
        <f t="shared" si="4"/>
        <v>108.85227272727272</v>
      </c>
      <c r="H24" s="259">
        <f t="shared" si="4"/>
        <v>142.38636363636363</v>
      </c>
      <c r="I24" s="259">
        <f t="shared" si="4"/>
        <v>210.79545454545453</v>
      </c>
      <c r="J24" s="259">
        <f t="shared" si="4"/>
        <v>0</v>
      </c>
      <c r="K24" s="259">
        <f t="shared" si="4"/>
        <v>0</v>
      </c>
      <c r="L24" s="259">
        <f t="shared" si="4"/>
        <v>0</v>
      </c>
      <c r="M24" s="259">
        <f t="shared" si="4"/>
        <v>0</v>
      </c>
      <c r="N24" s="259">
        <f t="shared" si="4"/>
        <v>0</v>
      </c>
    </row>
    <row r="25" spans="1:14">
      <c r="A25" s="253"/>
      <c r="B25" s="254"/>
      <c r="C25" s="157"/>
      <c r="D25" s="255"/>
      <c r="E25" s="255"/>
      <c r="F25" s="255"/>
      <c r="G25" s="255"/>
      <c r="H25" s="255"/>
      <c r="I25" s="255"/>
      <c r="J25" s="255"/>
      <c r="K25" s="255"/>
      <c r="L25" s="255"/>
      <c r="M25" s="255"/>
      <c r="N25" s="255"/>
    </row>
    <row r="26" spans="1:14">
      <c r="A26" s="253"/>
      <c r="B26" s="254"/>
      <c r="C26" s="157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</row>
    <row r="27" spans="1:14" s="251" customFormat="1">
      <c r="A27" s="282" t="s">
        <v>114</v>
      </c>
      <c r="B27" s="283"/>
      <c r="C27" s="284"/>
      <c r="D27" s="285"/>
      <c r="E27" s="285"/>
      <c r="F27" s="285"/>
      <c r="G27" s="285"/>
      <c r="H27" s="285"/>
      <c r="I27" s="285"/>
      <c r="J27" s="285"/>
      <c r="K27" s="285"/>
      <c r="L27" s="285"/>
      <c r="M27" s="285"/>
      <c r="N27" s="285"/>
    </row>
    <row r="28" spans="1:14">
      <c r="A28" s="286" t="s">
        <v>284</v>
      </c>
      <c r="B28" s="255"/>
      <c r="C28" s="362">
        <f>'DADOS TÉCNICOS MENSAIS'!C23</f>
        <v>0</v>
      </c>
      <c r="D28" s="362">
        <f>'DADOS TÉCNICOS MENSAIS'!D23</f>
        <v>0</v>
      </c>
      <c r="E28" s="362">
        <f>'DADOS TÉCNICOS MENSAIS'!E23</f>
        <v>0</v>
      </c>
      <c r="F28" s="362">
        <f>'DADOS TÉCNICOS MENSAIS'!F23</f>
        <v>0</v>
      </c>
      <c r="G28" s="362">
        <f>'DADOS TÉCNICOS MENSAIS'!G23</f>
        <v>0</v>
      </c>
      <c r="H28" s="362">
        <f>'DADOS TÉCNICOS MENSAIS'!H23</f>
        <v>0</v>
      </c>
      <c r="I28" s="362">
        <f>'DADOS TÉCNICOS MENSAIS'!I23</f>
        <v>0</v>
      </c>
      <c r="J28" s="362">
        <f>'DADOS TÉCNICOS MENSAIS'!J23</f>
        <v>0</v>
      </c>
      <c r="K28" s="362">
        <f>'DADOS TÉCNICOS MENSAIS'!K23</f>
        <v>0</v>
      </c>
      <c r="L28" s="362">
        <f>'DADOS TÉCNICOS MENSAIS'!L23</f>
        <v>0</v>
      </c>
      <c r="M28" s="362">
        <f>'DADOS TÉCNICOS MENSAIS'!M23</f>
        <v>0</v>
      </c>
      <c r="N28" s="362">
        <f>'DADOS TÉCNICOS MENSAIS'!N23</f>
        <v>0</v>
      </c>
    </row>
    <row r="29" spans="1:14">
      <c r="A29" s="286" t="s">
        <v>285</v>
      </c>
      <c r="B29" s="255"/>
      <c r="C29" s="362">
        <f>'DADOS TÉCNICOS MENSAIS'!C24</f>
        <v>0</v>
      </c>
      <c r="D29" s="362">
        <f>'DADOS TÉCNICOS MENSAIS'!D24</f>
        <v>0</v>
      </c>
      <c r="E29" s="362">
        <f>'DADOS TÉCNICOS MENSAIS'!E24</f>
        <v>0</v>
      </c>
      <c r="F29" s="362">
        <f>'DADOS TÉCNICOS MENSAIS'!F24</f>
        <v>0</v>
      </c>
      <c r="G29" s="362">
        <f>'DADOS TÉCNICOS MENSAIS'!G24</f>
        <v>0</v>
      </c>
      <c r="H29" s="362">
        <f>'DADOS TÉCNICOS MENSAIS'!H24</f>
        <v>0</v>
      </c>
      <c r="I29" s="362">
        <f>'DADOS TÉCNICOS MENSAIS'!I24</f>
        <v>0</v>
      </c>
      <c r="J29" s="362">
        <f>'DADOS TÉCNICOS MENSAIS'!J24</f>
        <v>0</v>
      </c>
      <c r="K29" s="362">
        <f>'DADOS TÉCNICOS MENSAIS'!K24</f>
        <v>0</v>
      </c>
      <c r="L29" s="362">
        <f>'DADOS TÉCNICOS MENSAIS'!L24</f>
        <v>0</v>
      </c>
      <c r="M29" s="362">
        <f>'DADOS TÉCNICOS MENSAIS'!M24</f>
        <v>0</v>
      </c>
      <c r="N29" s="362">
        <f>'DADOS TÉCNICOS MENSAIS'!N24</f>
        <v>0</v>
      </c>
    </row>
    <row r="30" spans="1:14">
      <c r="A30" s="286" t="s">
        <v>286</v>
      </c>
      <c r="B30" s="255"/>
      <c r="C30" s="362">
        <f>'DADOS TÉCNICOS MENSAIS'!C25</f>
        <v>0</v>
      </c>
      <c r="D30" s="362">
        <f>'DADOS TÉCNICOS MENSAIS'!D25</f>
        <v>0</v>
      </c>
      <c r="E30" s="362">
        <f>'DADOS TÉCNICOS MENSAIS'!E25</f>
        <v>0</v>
      </c>
      <c r="F30" s="362">
        <f>'DADOS TÉCNICOS MENSAIS'!F25</f>
        <v>0</v>
      </c>
      <c r="G30" s="362">
        <f>'DADOS TÉCNICOS MENSAIS'!G25</f>
        <v>0</v>
      </c>
      <c r="H30" s="362">
        <f>'DADOS TÉCNICOS MENSAIS'!H25</f>
        <v>0</v>
      </c>
      <c r="I30" s="362">
        <f>'DADOS TÉCNICOS MENSAIS'!I25</f>
        <v>0</v>
      </c>
      <c r="J30" s="362">
        <f>'DADOS TÉCNICOS MENSAIS'!J25</f>
        <v>0</v>
      </c>
      <c r="K30" s="362">
        <f>'DADOS TÉCNICOS MENSAIS'!K25</f>
        <v>0</v>
      </c>
      <c r="L30" s="362">
        <f>'DADOS TÉCNICOS MENSAIS'!L25</f>
        <v>0</v>
      </c>
      <c r="M30" s="362">
        <f>'DADOS TÉCNICOS MENSAIS'!M25</f>
        <v>0</v>
      </c>
      <c r="N30" s="362">
        <f>'DADOS TÉCNICOS MENSAIS'!N25</f>
        <v>0</v>
      </c>
    </row>
    <row r="31" spans="1:14">
      <c r="A31" s="286" t="s">
        <v>287</v>
      </c>
      <c r="B31" s="255"/>
      <c r="C31" s="362">
        <f>'DADOS TÉCNICOS MENSAIS'!C26</f>
        <v>0</v>
      </c>
      <c r="D31" s="362">
        <f>'DADOS TÉCNICOS MENSAIS'!D26</f>
        <v>0</v>
      </c>
      <c r="E31" s="362">
        <f>'DADOS TÉCNICOS MENSAIS'!E26</f>
        <v>0</v>
      </c>
      <c r="F31" s="362">
        <f>'DADOS TÉCNICOS MENSAIS'!F26</f>
        <v>0</v>
      </c>
      <c r="G31" s="362">
        <f>'DADOS TÉCNICOS MENSAIS'!G26</f>
        <v>0</v>
      </c>
      <c r="H31" s="362">
        <f>'DADOS TÉCNICOS MENSAIS'!H26</f>
        <v>0</v>
      </c>
      <c r="I31" s="362">
        <f>'DADOS TÉCNICOS MENSAIS'!I26</f>
        <v>0</v>
      </c>
      <c r="J31" s="362">
        <f>'DADOS TÉCNICOS MENSAIS'!J26</f>
        <v>0</v>
      </c>
      <c r="K31" s="362">
        <f>'DADOS TÉCNICOS MENSAIS'!K26</f>
        <v>0</v>
      </c>
      <c r="L31" s="362">
        <f>'DADOS TÉCNICOS MENSAIS'!L26</f>
        <v>0</v>
      </c>
      <c r="M31" s="362">
        <f>'DADOS TÉCNICOS MENSAIS'!M26</f>
        <v>0</v>
      </c>
      <c r="N31" s="362">
        <f>'DADOS TÉCNICOS MENSAIS'!N26</f>
        <v>0</v>
      </c>
    </row>
    <row r="32" spans="1:14">
      <c r="A32" s="286" t="s">
        <v>288</v>
      </c>
      <c r="B32" s="255"/>
      <c r="C32" s="362">
        <f>'DADOS TÉCNICOS MENSAIS'!C27</f>
        <v>0</v>
      </c>
      <c r="D32" s="362">
        <f>'DADOS TÉCNICOS MENSAIS'!D27</f>
        <v>0</v>
      </c>
      <c r="E32" s="362">
        <f>'DADOS TÉCNICOS MENSAIS'!E27</f>
        <v>0</v>
      </c>
      <c r="F32" s="362">
        <f>'DADOS TÉCNICOS MENSAIS'!F27</f>
        <v>0</v>
      </c>
      <c r="G32" s="362">
        <f>'DADOS TÉCNICOS MENSAIS'!G27</f>
        <v>0</v>
      </c>
      <c r="H32" s="362">
        <f>'DADOS TÉCNICOS MENSAIS'!H27</f>
        <v>0</v>
      </c>
      <c r="I32" s="362">
        <f>'DADOS TÉCNICOS MENSAIS'!I27</f>
        <v>0</v>
      </c>
      <c r="J32" s="362">
        <f>'DADOS TÉCNICOS MENSAIS'!J27</f>
        <v>0</v>
      </c>
      <c r="K32" s="362">
        <f>'DADOS TÉCNICOS MENSAIS'!K27</f>
        <v>0</v>
      </c>
      <c r="L32" s="362">
        <f>'DADOS TÉCNICOS MENSAIS'!L27</f>
        <v>0</v>
      </c>
      <c r="M32" s="362">
        <f>'DADOS TÉCNICOS MENSAIS'!M27</f>
        <v>0</v>
      </c>
      <c r="N32" s="362">
        <f>'DADOS TÉCNICOS MENSAIS'!N27</f>
        <v>0</v>
      </c>
    </row>
    <row r="33" spans="1:14">
      <c r="A33" s="286" t="s">
        <v>289</v>
      </c>
      <c r="B33" s="255"/>
      <c r="C33" s="362">
        <f>'DADOS TÉCNICOS MENSAIS'!C28</f>
        <v>0</v>
      </c>
      <c r="D33" s="362">
        <f>'DADOS TÉCNICOS MENSAIS'!D28</f>
        <v>0</v>
      </c>
      <c r="E33" s="362">
        <f>'DADOS TÉCNICOS MENSAIS'!E28</f>
        <v>0</v>
      </c>
      <c r="F33" s="362">
        <f>'DADOS TÉCNICOS MENSAIS'!F28</f>
        <v>0</v>
      </c>
      <c r="G33" s="362">
        <f>'DADOS TÉCNICOS MENSAIS'!G28</f>
        <v>0</v>
      </c>
      <c r="H33" s="362">
        <f>'DADOS TÉCNICOS MENSAIS'!H28</f>
        <v>0</v>
      </c>
      <c r="I33" s="362">
        <f>'DADOS TÉCNICOS MENSAIS'!I28</f>
        <v>0</v>
      </c>
      <c r="J33" s="362">
        <f>'DADOS TÉCNICOS MENSAIS'!J28</f>
        <v>0</v>
      </c>
      <c r="K33" s="362">
        <f>'DADOS TÉCNICOS MENSAIS'!K28</f>
        <v>0</v>
      </c>
      <c r="L33" s="362">
        <f>'DADOS TÉCNICOS MENSAIS'!L28</f>
        <v>0</v>
      </c>
      <c r="M33" s="362">
        <f>'DADOS TÉCNICOS MENSAIS'!M28</f>
        <v>0</v>
      </c>
      <c r="N33" s="362">
        <f>'DADOS TÉCNICOS MENSAIS'!N28</f>
        <v>0</v>
      </c>
    </row>
    <row r="34" spans="1:14">
      <c r="A34" s="286" t="s">
        <v>290</v>
      </c>
      <c r="B34" s="255"/>
      <c r="C34" s="362">
        <f>'DADOS TÉCNICOS MENSAIS'!C29</f>
        <v>0</v>
      </c>
      <c r="D34" s="362">
        <f>'DADOS TÉCNICOS MENSAIS'!D29</f>
        <v>0</v>
      </c>
      <c r="E34" s="362">
        <f>'DADOS TÉCNICOS MENSAIS'!E29</f>
        <v>0</v>
      </c>
      <c r="F34" s="362">
        <f>'DADOS TÉCNICOS MENSAIS'!F29</f>
        <v>0</v>
      </c>
      <c r="G34" s="362">
        <f>'DADOS TÉCNICOS MENSAIS'!G29</f>
        <v>0</v>
      </c>
      <c r="H34" s="362">
        <f>'DADOS TÉCNICOS MENSAIS'!H29</f>
        <v>0</v>
      </c>
      <c r="I34" s="362">
        <f>'DADOS TÉCNICOS MENSAIS'!I29</f>
        <v>0</v>
      </c>
      <c r="J34" s="362">
        <f>'DADOS TÉCNICOS MENSAIS'!J29</f>
        <v>0</v>
      </c>
      <c r="K34" s="362">
        <f>'DADOS TÉCNICOS MENSAIS'!K29</f>
        <v>0</v>
      </c>
      <c r="L34" s="362">
        <f>'DADOS TÉCNICOS MENSAIS'!L29</f>
        <v>0</v>
      </c>
      <c r="M34" s="362">
        <f>'DADOS TÉCNICOS MENSAIS'!M29</f>
        <v>0</v>
      </c>
      <c r="N34" s="362">
        <f>'DADOS TÉCNICOS MENSAIS'!N29</f>
        <v>0</v>
      </c>
    </row>
    <row r="35" spans="1:14">
      <c r="A35" s="286" t="s">
        <v>291</v>
      </c>
      <c r="B35" s="255"/>
      <c r="C35" s="362">
        <f>'DADOS TÉCNICOS MENSAIS'!C30</f>
        <v>0</v>
      </c>
      <c r="D35" s="362">
        <f>'DADOS TÉCNICOS MENSAIS'!D30</f>
        <v>0</v>
      </c>
      <c r="E35" s="362">
        <f>'DADOS TÉCNICOS MENSAIS'!E30</f>
        <v>0</v>
      </c>
      <c r="F35" s="362">
        <f>'DADOS TÉCNICOS MENSAIS'!F30</f>
        <v>0</v>
      </c>
      <c r="G35" s="362">
        <f>'DADOS TÉCNICOS MENSAIS'!G30</f>
        <v>0</v>
      </c>
      <c r="H35" s="362">
        <f>'DADOS TÉCNICOS MENSAIS'!H30</f>
        <v>0</v>
      </c>
      <c r="I35" s="362">
        <f>'DADOS TÉCNICOS MENSAIS'!I30</f>
        <v>0</v>
      </c>
      <c r="J35" s="362">
        <f>'DADOS TÉCNICOS MENSAIS'!J30</f>
        <v>0</v>
      </c>
      <c r="K35" s="362">
        <f>'DADOS TÉCNICOS MENSAIS'!K30</f>
        <v>0</v>
      </c>
      <c r="L35" s="362">
        <f>'DADOS TÉCNICOS MENSAIS'!L30</f>
        <v>0</v>
      </c>
      <c r="M35" s="362">
        <f>'DADOS TÉCNICOS MENSAIS'!M30</f>
        <v>0</v>
      </c>
      <c r="N35" s="362">
        <f>'DADOS TÉCNICOS MENSAIS'!N30</f>
        <v>0</v>
      </c>
    </row>
    <row r="36" spans="1:14">
      <c r="A36" s="252"/>
      <c r="B36" s="254"/>
      <c r="C36" s="257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</row>
    <row r="37" spans="1:14" s="251" customFormat="1">
      <c r="A37" s="282" t="s">
        <v>116</v>
      </c>
      <c r="B37" s="283"/>
      <c r="C37" s="287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</row>
    <row r="38" spans="1:14">
      <c r="A38" s="343" t="s">
        <v>95</v>
      </c>
      <c r="B38" s="254"/>
      <c r="C38" s="157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</row>
    <row r="39" spans="1:14">
      <c r="A39" s="343" t="s">
        <v>96</v>
      </c>
      <c r="B39" s="254"/>
      <c r="C39" s="157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</row>
    <row r="40" spans="1:14">
      <c r="A40" s="343" t="s">
        <v>97</v>
      </c>
      <c r="B40" s="254"/>
      <c r="C40" s="157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</row>
    <row r="41" spans="1:14">
      <c r="A41" s="343" t="s">
        <v>98</v>
      </c>
      <c r="B41" s="254"/>
      <c r="C41" s="157"/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</row>
    <row r="42" spans="1:14">
      <c r="A42" s="343" t="s">
        <v>99</v>
      </c>
      <c r="B42" s="254"/>
      <c r="C42" s="157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</row>
    <row r="43" spans="1:14">
      <c r="A43" s="253"/>
      <c r="B43" s="254"/>
      <c r="C43" s="157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</row>
    <row r="44" spans="1:14">
      <c r="A44" s="253"/>
      <c r="B44" s="254"/>
      <c r="C44" s="157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</row>
    <row r="45" spans="1:14">
      <c r="A45" s="253"/>
      <c r="B45" s="254"/>
      <c r="C45" s="157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</row>
    <row r="46" spans="1:14">
      <c r="A46" s="253"/>
      <c r="B46" s="254"/>
      <c r="C46" s="157"/>
      <c r="D46" s="255"/>
      <c r="E46" s="255"/>
      <c r="F46" s="255"/>
      <c r="G46" s="255"/>
      <c r="H46" s="255"/>
      <c r="I46" s="255"/>
      <c r="J46" s="255"/>
      <c r="K46" s="255"/>
      <c r="L46" s="255"/>
      <c r="M46" s="255"/>
      <c r="N46" s="255"/>
    </row>
    <row r="47" spans="1:14">
      <c r="A47" s="253"/>
      <c r="B47" s="254"/>
      <c r="C47" s="157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</row>
    <row r="48" spans="1:14">
      <c r="A48" s="253"/>
      <c r="B48" s="254"/>
      <c r="C48" s="157"/>
      <c r="D48" s="255"/>
      <c r="E48" s="255"/>
      <c r="F48" s="255"/>
      <c r="G48" s="255"/>
      <c r="H48" s="255"/>
      <c r="I48" s="255"/>
      <c r="J48" s="255"/>
      <c r="K48" s="255"/>
      <c r="L48" s="255"/>
      <c r="M48" s="255"/>
      <c r="N48" s="255"/>
    </row>
    <row r="49" spans="1:14">
      <c r="A49" s="253"/>
      <c r="B49" s="254"/>
      <c r="C49" s="157"/>
      <c r="D49" s="255"/>
      <c r="E49" s="255"/>
      <c r="F49" s="255"/>
      <c r="G49" s="255"/>
      <c r="H49" s="255"/>
      <c r="I49" s="255"/>
      <c r="J49" s="255"/>
      <c r="K49" s="255"/>
      <c r="L49" s="255"/>
      <c r="M49" s="255"/>
      <c r="N49" s="255"/>
    </row>
    <row r="50" spans="1:14">
      <c r="A50" s="253"/>
      <c r="B50" s="254"/>
      <c r="C50" s="157"/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5"/>
    </row>
    <row r="51" spans="1:14">
      <c r="A51" s="253"/>
      <c r="B51" s="254"/>
      <c r="C51" s="157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</row>
    <row r="52" spans="1:14">
      <c r="A52" s="253"/>
      <c r="B52" s="254"/>
      <c r="C52" s="157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</row>
    <row r="53" spans="1:14">
      <c r="A53" s="253"/>
      <c r="B53" s="254"/>
      <c r="C53" s="157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</row>
    <row r="54" spans="1:14">
      <c r="A54" s="253"/>
      <c r="B54" s="254"/>
      <c r="C54" s="157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</row>
    <row r="55" spans="1:14">
      <c r="A55" s="253"/>
      <c r="B55" s="254"/>
      <c r="C55" s="157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</row>
    <row r="56" spans="1:14">
      <c r="A56" s="253"/>
      <c r="B56" s="254"/>
      <c r="C56" s="157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</row>
    <row r="57" spans="1:14">
      <c r="A57" s="253"/>
      <c r="B57" s="254"/>
      <c r="C57" s="262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</row>
    <row r="58" spans="1:14">
      <c r="A58" s="253"/>
      <c r="B58" s="254"/>
      <c r="C58" s="262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</row>
    <row r="59" spans="1:14">
      <c r="A59" s="253"/>
      <c r="B59" s="260"/>
      <c r="C59" s="264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</row>
    <row r="60" spans="1:14">
      <c r="A60" s="261"/>
      <c r="B60" s="260"/>
      <c r="C60" s="264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</row>
    <row r="61" spans="1:14" ht="15.75" thickBot="1">
      <c r="A61" s="289"/>
      <c r="B61" s="290"/>
      <c r="C61" s="268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</row>
    <row r="62" spans="1:14">
      <c r="A62" s="271"/>
      <c r="B62" s="272"/>
      <c r="C62" s="273"/>
    </row>
  </sheetData>
  <mergeCells count="1">
    <mergeCell ref="A2:A4"/>
  </mergeCells>
  <pageMargins left="0.511811024" right="0.511811024" top="0.78740157499999996" bottom="0.78740157499999996" header="0.31496062000000002" footer="0.31496062000000002"/>
  <ignoredErrors>
    <ignoredError sqref="C9:C10" formulaRange="1"/>
  </ignoredErrors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1"/>
  <dimension ref="A2:O58"/>
  <sheetViews>
    <sheetView workbookViewId="0">
      <selection activeCell="D25" sqref="D25"/>
    </sheetView>
  </sheetViews>
  <sheetFormatPr defaultRowHeight="1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>
      <c r="A2" s="538" t="s">
        <v>372</v>
      </c>
      <c r="B2" s="539"/>
      <c r="C2" s="243"/>
      <c r="D2" s="243"/>
    </row>
    <row r="3" spans="1:15">
      <c r="A3" s="538"/>
      <c r="B3" s="539"/>
      <c r="C3" s="243"/>
      <c r="D3" s="243"/>
    </row>
    <row r="4" spans="1:15" ht="15.75" thickBot="1">
      <c r="A4" s="540"/>
      <c r="B4" s="541"/>
      <c r="C4" s="245"/>
      <c r="D4" s="245"/>
    </row>
    <row r="5" spans="1:15">
      <c r="A5" s="246" t="s">
        <v>1</v>
      </c>
      <c r="B5" s="247" t="s">
        <v>2</v>
      </c>
      <c r="C5" s="248" t="s">
        <v>3</v>
      </c>
      <c r="D5" s="374" t="s">
        <v>4</v>
      </c>
      <c r="E5" s="402"/>
      <c r="F5" s="403"/>
      <c r="G5" s="403"/>
      <c r="H5" s="403"/>
      <c r="I5" s="403"/>
      <c r="J5" s="403"/>
      <c r="K5" s="403"/>
      <c r="L5" s="403"/>
      <c r="M5" s="403"/>
      <c r="N5" s="403"/>
      <c r="O5" s="403"/>
    </row>
    <row r="6" spans="1:15">
      <c r="A6" s="252">
        <v>1</v>
      </c>
      <c r="B6" s="253" t="s">
        <v>366</v>
      </c>
      <c r="C6" s="254" t="s">
        <v>16</v>
      </c>
      <c r="D6" s="375">
        <f>D7+(INVENTÁRIO!J57-INVENTÁRIO!I57)</f>
        <v>-10972.6623</v>
      </c>
      <c r="E6" s="393"/>
      <c r="F6" s="385"/>
      <c r="G6" s="385"/>
      <c r="H6" s="385"/>
      <c r="I6" s="385"/>
      <c r="J6" s="385"/>
      <c r="K6" s="385"/>
      <c r="L6" s="385"/>
      <c r="M6" s="385"/>
      <c r="N6" s="385"/>
      <c r="O6" s="385"/>
    </row>
    <row r="7" spans="1:15">
      <c r="A7" s="252">
        <v>2</v>
      </c>
      <c r="B7" s="253" t="s">
        <v>17</v>
      </c>
      <c r="C7" s="254" t="s">
        <v>16</v>
      </c>
      <c r="D7" s="375">
        <f>SUM('INDICADORES ECONÔMICOS MENSAIS'!D7:O7)</f>
        <v>9127.3377</v>
      </c>
      <c r="E7" s="393"/>
      <c r="F7" s="385"/>
      <c r="G7" s="385"/>
      <c r="H7" s="385"/>
      <c r="I7" s="385"/>
      <c r="J7" s="385"/>
      <c r="K7" s="385"/>
      <c r="L7" s="385"/>
      <c r="M7" s="385"/>
      <c r="N7" s="385"/>
      <c r="O7" s="385"/>
    </row>
    <row r="8" spans="1:15">
      <c r="A8" s="252">
        <v>3</v>
      </c>
      <c r="B8" s="253" t="s">
        <v>321</v>
      </c>
      <c r="C8" s="254" t="s">
        <v>18</v>
      </c>
      <c r="D8" s="375">
        <f>D7/SUM('INDICADORES TÉCNICOS MENSAIS'!C7:N7)</f>
        <v>0.8958118835203015</v>
      </c>
      <c r="E8" s="393"/>
      <c r="F8" s="385"/>
      <c r="G8" s="385"/>
      <c r="H8" s="385"/>
      <c r="I8" s="385"/>
      <c r="J8" s="385"/>
      <c r="K8" s="385"/>
      <c r="L8" s="385"/>
      <c r="M8" s="385"/>
      <c r="N8" s="385"/>
      <c r="O8" s="385"/>
    </row>
    <row r="9" spans="1:15">
      <c r="A9" s="252">
        <v>4</v>
      </c>
      <c r="B9" s="253" t="s">
        <v>390</v>
      </c>
      <c r="C9" s="254" t="s">
        <v>27</v>
      </c>
      <c r="D9" s="375">
        <f>SUM('INDICADORES ECONÔMICOS MENSAIS'!D9:O9)</f>
        <v>7916.5</v>
      </c>
      <c r="E9" s="393"/>
      <c r="F9" s="385"/>
      <c r="G9" s="385"/>
      <c r="H9" s="385"/>
      <c r="I9" s="385"/>
      <c r="J9" s="385"/>
      <c r="K9" s="385"/>
      <c r="L9" s="385"/>
      <c r="M9" s="385"/>
      <c r="N9" s="385"/>
      <c r="O9" s="385"/>
    </row>
    <row r="10" spans="1:15">
      <c r="A10" s="252">
        <v>5</v>
      </c>
      <c r="B10" s="253" t="s">
        <v>389</v>
      </c>
      <c r="C10" s="254" t="s">
        <v>27</v>
      </c>
      <c r="D10" s="375">
        <f>SUM('INDICADORES ECONÔMICOS MENSAIS'!D10:O10)</f>
        <v>19074.833333333332</v>
      </c>
      <c r="E10" s="394"/>
      <c r="F10" s="386"/>
      <c r="G10" s="386"/>
      <c r="H10" s="386"/>
      <c r="I10" s="386"/>
      <c r="J10" s="386"/>
      <c r="K10" s="386"/>
      <c r="L10" s="386"/>
      <c r="M10" s="386"/>
      <c r="N10" s="386"/>
      <c r="O10" s="386"/>
    </row>
    <row r="11" spans="1:15">
      <c r="A11" s="252">
        <v>6</v>
      </c>
      <c r="B11" s="253" t="s">
        <v>398</v>
      </c>
      <c r="C11" s="254" t="s">
        <v>27</v>
      </c>
      <c r="D11" s="375">
        <f>SUM('INDICADORES ECONÔMICOS MENSAIS'!D11:O11)</f>
        <v>28665.833333333328</v>
      </c>
      <c r="E11" s="393"/>
      <c r="F11" s="385"/>
      <c r="G11" s="385"/>
      <c r="H11" s="385"/>
      <c r="I11" s="385"/>
      <c r="J11" s="385"/>
      <c r="K11" s="385"/>
      <c r="L11" s="385"/>
      <c r="M11" s="385"/>
      <c r="N11" s="385"/>
      <c r="O11" s="385"/>
    </row>
    <row r="12" spans="1:15">
      <c r="A12" s="252">
        <v>7</v>
      </c>
      <c r="B12" s="253" t="s">
        <v>311</v>
      </c>
      <c r="C12" s="254" t="s">
        <v>27</v>
      </c>
      <c r="D12" s="375">
        <f>SUM('INDICADORES ECONÔMICOS MENSAIS'!D12:O12)</f>
        <v>6333.2000000000007</v>
      </c>
      <c r="E12" s="393"/>
      <c r="F12" s="385"/>
      <c r="G12" s="385"/>
      <c r="H12" s="385"/>
      <c r="I12" s="385"/>
      <c r="J12" s="385"/>
      <c r="K12" s="385"/>
      <c r="L12" s="385"/>
      <c r="M12" s="385"/>
      <c r="N12" s="385"/>
      <c r="O12" s="385"/>
    </row>
    <row r="13" spans="1:15">
      <c r="A13" s="252">
        <v>8</v>
      </c>
      <c r="B13" s="253" t="s">
        <v>312</v>
      </c>
      <c r="C13" s="254" t="s">
        <v>27</v>
      </c>
      <c r="D13" s="375">
        <f>SUM('INDICADORES ECONÔMICOS MENSAIS'!D13:O13)</f>
        <v>15259.866666666667</v>
      </c>
      <c r="E13" s="393"/>
      <c r="F13" s="385"/>
      <c r="G13" s="385"/>
      <c r="H13" s="385"/>
      <c r="I13" s="385"/>
      <c r="J13" s="385"/>
      <c r="K13" s="385"/>
      <c r="L13" s="385"/>
      <c r="M13" s="385"/>
      <c r="N13" s="385"/>
      <c r="O13" s="385"/>
    </row>
    <row r="14" spans="1:15">
      <c r="A14" s="252">
        <v>9</v>
      </c>
      <c r="B14" s="253" t="s">
        <v>19</v>
      </c>
      <c r="C14" s="254" t="s">
        <v>27</v>
      </c>
      <c r="D14" s="375">
        <f>SUM('INDICADORES ECONÔMICOS MENSAIS'!D14:O14)</f>
        <v>22932.666666666668</v>
      </c>
      <c r="E14" s="395"/>
      <c r="F14" s="387"/>
      <c r="G14" s="387"/>
      <c r="H14" s="387"/>
      <c r="I14" s="387"/>
      <c r="J14" s="387"/>
      <c r="K14" s="387"/>
      <c r="L14" s="387"/>
      <c r="M14" s="387"/>
      <c r="N14" s="387"/>
      <c r="O14" s="387"/>
    </row>
    <row r="15" spans="1:15">
      <c r="A15" s="252">
        <v>10</v>
      </c>
      <c r="B15" s="253" t="s">
        <v>387</v>
      </c>
      <c r="C15" s="254" t="s">
        <v>18</v>
      </c>
      <c r="D15" s="378">
        <f>D9/'INDICADORES TÉCNICOS ANUAIS'!C7</f>
        <v>0.77697298040023954</v>
      </c>
      <c r="E15" s="396"/>
      <c r="F15" s="388"/>
      <c r="G15" s="388"/>
      <c r="H15" s="388"/>
      <c r="I15" s="388"/>
      <c r="J15" s="388"/>
      <c r="K15" s="388"/>
      <c r="L15" s="388"/>
      <c r="M15" s="388"/>
      <c r="N15" s="388"/>
      <c r="O15" s="388"/>
    </row>
    <row r="16" spans="1:15">
      <c r="A16" s="252">
        <v>11</v>
      </c>
      <c r="B16" s="253" t="s">
        <v>388</v>
      </c>
      <c r="C16" s="254" t="s">
        <v>18</v>
      </c>
      <c r="D16" s="378">
        <f>D10/'INDICADORES TÉCNICOS ANUAIS'!C7</f>
        <v>1.8721190053227859</v>
      </c>
      <c r="E16" s="396"/>
      <c r="F16" s="388"/>
      <c r="G16" s="388"/>
      <c r="H16" s="388"/>
      <c r="I16" s="388"/>
      <c r="J16" s="388"/>
      <c r="K16" s="388"/>
      <c r="L16" s="388"/>
      <c r="M16" s="388"/>
      <c r="N16" s="388"/>
      <c r="O16" s="388"/>
    </row>
    <row r="17" spans="1:15">
      <c r="A17" s="252">
        <v>12</v>
      </c>
      <c r="B17" s="253" t="s">
        <v>323</v>
      </c>
      <c r="C17" s="254" t="s">
        <v>27</v>
      </c>
      <c r="D17" s="378">
        <f>D11/'INDICADORES TÉCNICOS ANUAIS'!C7</f>
        <v>2.8134374989776454</v>
      </c>
      <c r="E17" s="396"/>
      <c r="F17" s="388"/>
      <c r="G17" s="388"/>
      <c r="H17" s="388"/>
      <c r="I17" s="388"/>
      <c r="J17" s="388"/>
      <c r="K17" s="388"/>
      <c r="L17" s="388"/>
      <c r="M17" s="388"/>
      <c r="N17" s="388"/>
      <c r="O17" s="388"/>
    </row>
    <row r="18" spans="1:15">
      <c r="A18" s="252">
        <v>13</v>
      </c>
      <c r="B18" s="253" t="s">
        <v>306</v>
      </c>
      <c r="C18" s="254" t="s">
        <v>341</v>
      </c>
      <c r="D18" s="410">
        <f>D15/D8</f>
        <v>0.86733944335159208</v>
      </c>
      <c r="E18" s="397"/>
      <c r="F18" s="389"/>
      <c r="G18" s="389"/>
      <c r="H18" s="389"/>
      <c r="I18" s="389"/>
      <c r="J18" s="389"/>
      <c r="K18" s="389"/>
      <c r="L18" s="389"/>
      <c r="M18" s="389"/>
      <c r="N18" s="389"/>
      <c r="O18" s="389"/>
    </row>
    <row r="19" spans="1:15">
      <c r="A19" s="252">
        <v>14</v>
      </c>
      <c r="B19" s="253" t="s">
        <v>307</v>
      </c>
      <c r="C19" s="254" t="s">
        <v>341</v>
      </c>
      <c r="D19" s="410">
        <f>D16/D8</f>
        <v>2.0898573012515285</v>
      </c>
      <c r="E19" s="393"/>
      <c r="F19" s="385"/>
      <c r="G19" s="385"/>
      <c r="H19" s="385"/>
      <c r="I19" s="385"/>
      <c r="J19" s="385"/>
      <c r="K19" s="385"/>
      <c r="L19" s="385"/>
      <c r="M19" s="385"/>
      <c r="N19" s="385"/>
      <c r="O19" s="385"/>
    </row>
    <row r="20" spans="1:15">
      <c r="A20" s="252">
        <v>15</v>
      </c>
      <c r="B20" s="253" t="s">
        <v>308</v>
      </c>
      <c r="C20" s="254" t="s">
        <v>341</v>
      </c>
      <c r="D20" s="410">
        <f>D17/D8</f>
        <v>3.1406565940179174</v>
      </c>
      <c r="E20" s="393"/>
      <c r="F20" s="385"/>
      <c r="G20" s="385"/>
      <c r="H20" s="385"/>
      <c r="I20" s="385"/>
      <c r="J20" s="385"/>
      <c r="K20" s="385"/>
      <c r="L20" s="385"/>
      <c r="M20" s="385"/>
      <c r="N20" s="385"/>
      <c r="O20" s="385"/>
    </row>
    <row r="21" spans="1:15">
      <c r="A21" s="252">
        <v>16</v>
      </c>
      <c r="B21" s="253" t="s">
        <v>391</v>
      </c>
      <c r="C21" s="254" t="s">
        <v>12</v>
      </c>
      <c r="D21" s="380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-6.926304475806204E-2</v>
      </c>
      <c r="E21" s="398"/>
      <c r="F21" s="390"/>
      <c r="G21" s="390"/>
      <c r="H21" s="390"/>
      <c r="I21" s="390"/>
      <c r="J21" s="390"/>
      <c r="K21" s="390"/>
      <c r="L21" s="390"/>
      <c r="M21" s="390"/>
      <c r="N21" s="390"/>
      <c r="O21" s="390"/>
    </row>
    <row r="22" spans="1:15">
      <c r="A22" s="252"/>
      <c r="B22" s="253" t="s">
        <v>400</v>
      </c>
      <c r="C22" s="254" t="s">
        <v>12</v>
      </c>
      <c r="D22" s="380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MENSAIS'!D37:O37))/D6</f>
        <v>-6.926304475806204E-2</v>
      </c>
      <c r="E22" s="398"/>
      <c r="F22" s="390"/>
      <c r="G22" s="390"/>
      <c r="H22" s="390"/>
      <c r="I22" s="390"/>
      <c r="J22" s="390"/>
      <c r="K22" s="390"/>
      <c r="L22" s="390"/>
      <c r="M22" s="390"/>
      <c r="N22" s="390"/>
      <c r="O22" s="390"/>
    </row>
    <row r="23" spans="1:15">
      <c r="A23" s="252">
        <v>17</v>
      </c>
      <c r="B23" s="253" t="s">
        <v>401</v>
      </c>
      <c r="C23" s="254" t="s">
        <v>12</v>
      </c>
      <c r="D23" s="376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-0.5637629073848377</v>
      </c>
      <c r="E23" s="394"/>
      <c r="F23" s="386"/>
      <c r="G23" s="386"/>
      <c r="H23" s="386"/>
      <c r="I23" s="386"/>
      <c r="J23" s="386"/>
      <c r="K23" s="386"/>
      <c r="L23" s="386"/>
      <c r="M23" s="386"/>
      <c r="N23" s="386"/>
      <c r="O23" s="386"/>
    </row>
    <row r="24" spans="1:15">
      <c r="A24" s="252">
        <v>18</v>
      </c>
      <c r="B24" s="253" t="s">
        <v>393</v>
      </c>
      <c r="C24" s="254" t="s">
        <v>27</v>
      </c>
      <c r="D24" s="375">
        <f>D7-D9</f>
        <v>1210.8377</v>
      </c>
      <c r="E24" s="393"/>
      <c r="F24" s="385"/>
      <c r="G24" s="385"/>
      <c r="H24" s="385"/>
      <c r="I24" s="385"/>
      <c r="J24" s="385"/>
      <c r="K24" s="385"/>
      <c r="L24" s="385"/>
      <c r="M24" s="385"/>
      <c r="N24" s="385"/>
      <c r="O24" s="385"/>
    </row>
    <row r="25" spans="1:15">
      <c r="A25" s="252">
        <v>19</v>
      </c>
      <c r="B25" s="253" t="s">
        <v>322</v>
      </c>
      <c r="C25" s="254" t="s">
        <v>18</v>
      </c>
      <c r="D25" s="375">
        <f>D24/'INDICADORES TÉCNICOS ANUAIS'!C7</f>
        <v>0.11883890312006204</v>
      </c>
      <c r="E25" s="393"/>
      <c r="F25" s="385"/>
      <c r="G25" s="385"/>
      <c r="H25" s="385"/>
      <c r="I25" s="385"/>
      <c r="J25" s="385"/>
      <c r="K25" s="385"/>
      <c r="L25" s="385"/>
      <c r="M25" s="385"/>
      <c r="N25" s="385"/>
      <c r="O25" s="385"/>
    </row>
    <row r="26" spans="1:15">
      <c r="A26" s="252">
        <v>20</v>
      </c>
      <c r="B26" s="253" t="s">
        <v>394</v>
      </c>
      <c r="C26" s="254" t="s">
        <v>395</v>
      </c>
      <c r="D26" s="375">
        <f>D24/D8</f>
        <v>1351.6651456349643</v>
      </c>
      <c r="E26" s="393"/>
      <c r="F26" s="385"/>
      <c r="G26" s="385"/>
      <c r="H26" s="385"/>
      <c r="I26" s="385"/>
      <c r="J26" s="385"/>
      <c r="K26" s="385"/>
      <c r="L26" s="385"/>
      <c r="M26" s="385"/>
      <c r="N26" s="385"/>
      <c r="O26" s="385"/>
    </row>
    <row r="27" spans="1:15">
      <c r="A27" s="252">
        <v>21</v>
      </c>
      <c r="B27" s="253" t="s">
        <v>313</v>
      </c>
      <c r="C27" s="254" t="s">
        <v>29</v>
      </c>
      <c r="D27" s="375">
        <f>D24/PERFIL!$B$6</f>
        <v>137.59519318181819</v>
      </c>
      <c r="E27" s="393"/>
      <c r="F27" s="385"/>
      <c r="G27" s="385"/>
      <c r="H27" s="385"/>
      <c r="I27" s="385"/>
      <c r="J27" s="385"/>
      <c r="K27" s="385"/>
      <c r="L27" s="385"/>
      <c r="M27" s="385"/>
      <c r="N27" s="385"/>
      <c r="O27" s="385"/>
    </row>
    <row r="28" spans="1:15">
      <c r="A28" s="252">
        <v>22</v>
      </c>
      <c r="B28" s="253" t="s">
        <v>314</v>
      </c>
      <c r="C28" s="254" t="s">
        <v>20</v>
      </c>
      <c r="D28" s="375">
        <f>D24/'INDICADORES TÉCNICOS ANUAIS'!C11</f>
        <v>345.95362857142857</v>
      </c>
      <c r="E28" s="393"/>
      <c r="F28" s="385"/>
      <c r="G28" s="385"/>
      <c r="H28" s="385"/>
      <c r="I28" s="385"/>
      <c r="J28" s="385"/>
      <c r="K28" s="385"/>
      <c r="L28" s="385"/>
      <c r="M28" s="385"/>
      <c r="N28" s="385"/>
      <c r="O28" s="385"/>
    </row>
    <row r="29" spans="1:15">
      <c r="A29" s="252">
        <v>23</v>
      </c>
      <c r="B29" s="253" t="s">
        <v>315</v>
      </c>
      <c r="C29" s="254" t="s">
        <v>20</v>
      </c>
      <c r="D29" s="375">
        <f>D24/'INDICADORES TÉCNICOS ANUAIS'!C10</f>
        <v>246.27207457627117</v>
      </c>
      <c r="E29" s="393"/>
      <c r="F29" s="385"/>
      <c r="G29" s="385"/>
      <c r="H29" s="385"/>
      <c r="I29" s="385"/>
      <c r="J29" s="385"/>
      <c r="K29" s="385"/>
      <c r="L29" s="385"/>
      <c r="M29" s="385"/>
      <c r="N29" s="385"/>
      <c r="O29" s="385"/>
    </row>
    <row r="30" spans="1:15">
      <c r="A30" s="252">
        <v>24</v>
      </c>
      <c r="B30" s="253" t="s">
        <v>396</v>
      </c>
      <c r="C30" s="254" t="s">
        <v>27</v>
      </c>
      <c r="D30" s="375">
        <f>D6-D10</f>
        <v>-30047.495633333332</v>
      </c>
      <c r="E30" s="393"/>
      <c r="F30" s="385"/>
      <c r="G30" s="385"/>
      <c r="H30" s="385"/>
      <c r="I30" s="385"/>
      <c r="J30" s="385"/>
      <c r="K30" s="385"/>
      <c r="L30" s="385"/>
      <c r="M30" s="385"/>
      <c r="N30" s="385"/>
      <c r="O30" s="385"/>
    </row>
    <row r="31" spans="1:15">
      <c r="A31" s="252">
        <v>25</v>
      </c>
      <c r="B31" s="253" t="s">
        <v>316</v>
      </c>
      <c r="C31" s="254" t="s">
        <v>18</v>
      </c>
      <c r="D31" s="375">
        <f>D30/'INDICADORES TÉCNICOS ANUAIS'!C7</f>
        <v>-2.9490421569878333</v>
      </c>
      <c r="E31" s="393"/>
      <c r="F31" s="385"/>
      <c r="G31" s="385"/>
      <c r="H31" s="385"/>
      <c r="I31" s="385"/>
      <c r="J31" s="385"/>
      <c r="K31" s="385"/>
      <c r="L31" s="385"/>
      <c r="M31" s="385"/>
      <c r="N31" s="385"/>
      <c r="O31" s="385"/>
    </row>
    <row r="32" spans="1:15">
      <c r="A32" s="252">
        <v>26</v>
      </c>
      <c r="B32" s="253" t="s">
        <v>317</v>
      </c>
      <c r="C32" s="254" t="s">
        <v>28</v>
      </c>
      <c r="D32" s="377">
        <f>D30/D8</f>
        <v>-33542.193607942216</v>
      </c>
      <c r="E32" s="395"/>
      <c r="F32" s="387"/>
      <c r="G32" s="387"/>
      <c r="H32" s="387"/>
      <c r="I32" s="387"/>
      <c r="J32" s="387"/>
      <c r="K32" s="387"/>
      <c r="L32" s="387"/>
      <c r="M32" s="387"/>
      <c r="N32" s="387"/>
      <c r="O32" s="387"/>
    </row>
    <row r="33" spans="1:15">
      <c r="A33" s="252">
        <v>27</v>
      </c>
      <c r="B33" s="253" t="s">
        <v>318</v>
      </c>
      <c r="C33" s="254" t="s">
        <v>29</v>
      </c>
      <c r="D33" s="379">
        <f>D30/PERFIL!B6</f>
        <v>-3414.4881401515149</v>
      </c>
      <c r="E33" s="397"/>
      <c r="F33" s="389"/>
      <c r="G33" s="389"/>
      <c r="H33" s="389"/>
      <c r="I33" s="389"/>
      <c r="J33" s="389"/>
      <c r="K33" s="389"/>
      <c r="L33" s="389"/>
      <c r="M33" s="389"/>
      <c r="N33" s="389"/>
      <c r="O33" s="389"/>
    </row>
    <row r="34" spans="1:15">
      <c r="A34" s="252">
        <v>28</v>
      </c>
      <c r="B34" s="253" t="s">
        <v>397</v>
      </c>
      <c r="C34" s="254" t="s">
        <v>27</v>
      </c>
      <c r="D34" s="375">
        <f>D6-D11</f>
        <v>-39638.495633333325</v>
      </c>
      <c r="E34" s="393"/>
      <c r="F34" s="385"/>
      <c r="G34" s="385"/>
      <c r="H34" s="385"/>
      <c r="I34" s="385"/>
      <c r="J34" s="385"/>
      <c r="K34" s="385"/>
      <c r="L34" s="385"/>
      <c r="M34" s="385"/>
      <c r="N34" s="385"/>
      <c r="O34" s="385"/>
    </row>
    <row r="35" spans="1:15">
      <c r="A35" s="252">
        <v>29</v>
      </c>
      <c r="B35" s="253" t="s">
        <v>324</v>
      </c>
      <c r="C35" s="254" t="s">
        <v>18</v>
      </c>
      <c r="D35" s="375">
        <f>D34/'INDICADORES TÉCNICOS ANUAIS'!C7</f>
        <v>-3.890360650642692</v>
      </c>
      <c r="E35" s="393"/>
      <c r="F35" s="385"/>
      <c r="G35" s="385"/>
      <c r="H35" s="385"/>
      <c r="I35" s="385"/>
      <c r="J35" s="385"/>
      <c r="K35" s="385"/>
      <c r="L35" s="385"/>
      <c r="M35" s="385"/>
      <c r="N35" s="385"/>
      <c r="O35" s="385"/>
    </row>
    <row r="36" spans="1:15">
      <c r="A36" s="252">
        <v>30</v>
      </c>
      <c r="B36" s="253" t="s">
        <v>331</v>
      </c>
      <c r="C36" s="254" t="s">
        <v>28</v>
      </c>
      <c r="D36" s="375">
        <f>D34/D8</f>
        <v>-44248.682522009665</v>
      </c>
      <c r="E36" s="393"/>
      <c r="F36" s="385"/>
      <c r="G36" s="385"/>
      <c r="H36" s="385"/>
      <c r="I36" s="385"/>
      <c r="J36" s="385"/>
      <c r="K36" s="385"/>
      <c r="L36" s="385"/>
      <c r="M36" s="385"/>
      <c r="N36" s="385"/>
      <c r="O36" s="385"/>
    </row>
    <row r="37" spans="1:15">
      <c r="A37" s="252">
        <v>31</v>
      </c>
      <c r="B37" s="253" t="s">
        <v>399</v>
      </c>
      <c r="C37" s="254" t="s">
        <v>12</v>
      </c>
      <c r="D37" s="376">
        <f>D7/D6</f>
        <v>-0.83182526268032508</v>
      </c>
      <c r="E37" s="393"/>
      <c r="F37" s="385"/>
      <c r="G37" s="385"/>
      <c r="H37" s="385"/>
      <c r="I37" s="385"/>
      <c r="J37" s="385"/>
      <c r="K37" s="385"/>
      <c r="L37" s="385"/>
      <c r="M37" s="385"/>
      <c r="N37" s="385"/>
      <c r="O37" s="385"/>
    </row>
    <row r="38" spans="1:15">
      <c r="A38" s="252">
        <v>32</v>
      </c>
      <c r="B38" s="253" t="s">
        <v>375</v>
      </c>
      <c r="C38" s="254" t="s">
        <v>21</v>
      </c>
      <c r="D38" s="375">
        <f>SUM(INVENTÁRIO!J19:J22)</f>
        <v>115850</v>
      </c>
      <c r="E38" s="393"/>
      <c r="F38" s="385"/>
      <c r="G38" s="385"/>
      <c r="H38" s="385"/>
      <c r="I38" s="385"/>
      <c r="J38" s="385"/>
      <c r="K38" s="385"/>
      <c r="L38" s="385"/>
      <c r="M38" s="385"/>
      <c r="N38" s="385"/>
      <c r="O38" s="385"/>
    </row>
    <row r="39" spans="1:15">
      <c r="A39" s="252">
        <v>33</v>
      </c>
      <c r="B39" s="253" t="s">
        <v>376</v>
      </c>
      <c r="C39" s="254" t="s">
        <v>21</v>
      </c>
      <c r="D39" s="375">
        <f>INVENTÁRIO!J25</f>
        <v>159850</v>
      </c>
      <c r="E39" s="393"/>
      <c r="F39" s="385"/>
      <c r="G39" s="385"/>
      <c r="H39" s="385"/>
      <c r="I39" s="385"/>
      <c r="J39" s="385"/>
      <c r="K39" s="385"/>
      <c r="L39" s="385"/>
      <c r="M39" s="385"/>
      <c r="N39" s="385"/>
      <c r="O39" s="385"/>
    </row>
    <row r="40" spans="1:15">
      <c r="A40" s="252">
        <v>34</v>
      </c>
      <c r="B40" s="253" t="s">
        <v>22</v>
      </c>
      <c r="C40" s="254" t="s">
        <v>27</v>
      </c>
      <c r="D40" s="375">
        <f>SUM('INDICADORES ECONÔMICOS MENSAIS'!D37:O37)</f>
        <v>0</v>
      </c>
      <c r="E40" s="393"/>
      <c r="F40" s="385"/>
      <c r="G40" s="385"/>
      <c r="H40" s="385"/>
      <c r="I40" s="385"/>
      <c r="J40" s="385"/>
      <c r="K40" s="385"/>
      <c r="L40" s="385"/>
      <c r="M40" s="385"/>
      <c r="N40" s="385"/>
      <c r="O40" s="385"/>
    </row>
    <row r="41" spans="1:15" s="368" customFormat="1">
      <c r="A41" s="252">
        <v>35</v>
      </c>
      <c r="B41" s="365" t="s">
        <v>377</v>
      </c>
      <c r="C41" s="366" t="s">
        <v>23</v>
      </c>
      <c r="D41" s="381">
        <f>D30/D38*100</f>
        <v>-25.936552121996836</v>
      </c>
      <c r="E41" s="399"/>
      <c r="F41" s="391"/>
      <c r="G41" s="391"/>
      <c r="H41" s="391"/>
      <c r="I41" s="391"/>
      <c r="J41" s="391"/>
      <c r="K41" s="391"/>
      <c r="L41" s="391"/>
      <c r="M41" s="391"/>
      <c r="N41" s="391"/>
      <c r="O41" s="391"/>
    </row>
    <row r="42" spans="1:15" s="368" customFormat="1">
      <c r="A42" s="252">
        <v>36</v>
      </c>
      <c r="B42" s="365" t="s">
        <v>378</v>
      </c>
      <c r="C42" s="366" t="s">
        <v>23</v>
      </c>
      <c r="D42" s="381">
        <f>D30/D39*100</f>
        <v>-18.79730724637681</v>
      </c>
      <c r="E42" s="399"/>
      <c r="F42" s="391"/>
      <c r="G42" s="391"/>
      <c r="H42" s="391"/>
      <c r="I42" s="391"/>
      <c r="J42" s="391"/>
      <c r="K42" s="391"/>
      <c r="L42" s="391"/>
      <c r="M42" s="391"/>
      <c r="N42" s="391"/>
      <c r="O42" s="391"/>
    </row>
    <row r="43" spans="1:15" s="368" customFormat="1">
      <c r="A43" s="252">
        <v>37</v>
      </c>
      <c r="B43" s="365" t="s">
        <v>24</v>
      </c>
      <c r="C43" s="366" t="s">
        <v>342</v>
      </c>
      <c r="D43" s="381">
        <f>D34/D6*100</f>
        <v>361.24774963076487</v>
      </c>
      <c r="E43" s="399"/>
      <c r="F43" s="391"/>
      <c r="G43" s="391"/>
      <c r="H43" s="391"/>
      <c r="I43" s="391"/>
      <c r="J43" s="391"/>
      <c r="K43" s="391"/>
      <c r="L43" s="391"/>
      <c r="M43" s="391"/>
      <c r="N43" s="391"/>
      <c r="O43" s="391"/>
    </row>
    <row r="44" spans="1:15" s="368" customFormat="1">
      <c r="A44" s="252">
        <v>38</v>
      </c>
      <c r="B44" s="365" t="s">
        <v>379</v>
      </c>
      <c r="C44" s="366" t="s">
        <v>16</v>
      </c>
      <c r="D44" s="381">
        <f>D30+D40</f>
        <v>-30047.495633333332</v>
      </c>
      <c r="E44" s="399"/>
      <c r="F44" s="391"/>
      <c r="G44" s="391"/>
      <c r="H44" s="391"/>
      <c r="I44" s="391"/>
      <c r="J44" s="391"/>
      <c r="K44" s="391"/>
      <c r="L44" s="391"/>
      <c r="M44" s="391"/>
      <c r="N44" s="391"/>
      <c r="O44" s="391"/>
    </row>
    <row r="45" spans="1:15" s="368" customFormat="1">
      <c r="A45" s="252">
        <v>39</v>
      </c>
      <c r="B45" s="365" t="s">
        <v>364</v>
      </c>
      <c r="C45" s="370" t="s">
        <v>9</v>
      </c>
      <c r="D45" s="381">
        <f>(D10-D9)/D25/365</f>
        <v>257.24552695359648</v>
      </c>
      <c r="E45" s="399"/>
      <c r="F45" s="391"/>
      <c r="G45" s="391"/>
      <c r="H45" s="391"/>
      <c r="I45" s="391"/>
      <c r="J45" s="391"/>
      <c r="K45" s="391"/>
      <c r="L45" s="391"/>
      <c r="M45" s="391"/>
      <c r="N45" s="391"/>
      <c r="O45" s="391"/>
    </row>
    <row r="46" spans="1:15" s="368" customFormat="1">
      <c r="A46" s="252">
        <v>40</v>
      </c>
      <c r="B46" s="371" t="s">
        <v>25</v>
      </c>
      <c r="C46" s="370" t="s">
        <v>9</v>
      </c>
      <c r="D46" s="381">
        <f>(D11-D9)/D25/365</f>
        <v>478.35756719365111</v>
      </c>
      <c r="E46" s="399"/>
      <c r="F46" s="391"/>
      <c r="G46" s="391"/>
      <c r="H46" s="391"/>
      <c r="I46" s="391"/>
      <c r="J46" s="391"/>
      <c r="K46" s="391"/>
      <c r="L46" s="391"/>
      <c r="M46" s="391"/>
      <c r="N46" s="391"/>
      <c r="O46" s="391"/>
    </row>
    <row r="47" spans="1:15" s="368" customFormat="1">
      <c r="A47" s="252">
        <v>41</v>
      </c>
      <c r="B47" s="371" t="s">
        <v>26</v>
      </c>
      <c r="C47" s="372" t="s">
        <v>18</v>
      </c>
      <c r="D47" s="381">
        <f>INVENTÁRIO!$J$25/('INDICADORES TÉCNICOS ANUAIS'!C7/365)</f>
        <v>5726.3541697337305</v>
      </c>
      <c r="E47" s="399"/>
      <c r="F47" s="391"/>
      <c r="G47" s="391"/>
      <c r="H47" s="391"/>
      <c r="I47" s="391"/>
      <c r="J47" s="391"/>
      <c r="K47" s="391"/>
      <c r="L47" s="391"/>
      <c r="M47" s="391"/>
      <c r="N47" s="391"/>
      <c r="O47" s="391"/>
    </row>
    <row r="48" spans="1:15" s="368" customFormat="1">
      <c r="A48" s="252">
        <v>42</v>
      </c>
      <c r="B48" s="365"/>
      <c r="C48" s="366"/>
      <c r="D48" s="381"/>
      <c r="E48" s="399"/>
      <c r="F48" s="391"/>
      <c r="G48" s="391"/>
      <c r="H48" s="391"/>
      <c r="I48" s="391"/>
      <c r="J48" s="391"/>
      <c r="K48" s="391"/>
      <c r="L48" s="391"/>
      <c r="M48" s="391"/>
      <c r="N48" s="391"/>
      <c r="O48" s="391"/>
    </row>
    <row r="49" spans="1:15">
      <c r="A49" s="252">
        <v>43</v>
      </c>
      <c r="B49" s="253"/>
      <c r="C49" s="254"/>
      <c r="D49" s="375"/>
      <c r="E49" s="393"/>
      <c r="F49" s="385"/>
      <c r="G49" s="385"/>
      <c r="H49" s="385"/>
      <c r="I49" s="385"/>
      <c r="J49" s="385"/>
      <c r="K49" s="385"/>
      <c r="L49" s="385"/>
      <c r="M49" s="385"/>
      <c r="N49" s="385"/>
      <c r="O49" s="385"/>
    </row>
    <row r="50" spans="1:15">
      <c r="A50" s="252">
        <v>44</v>
      </c>
      <c r="B50" s="253"/>
      <c r="C50" s="254"/>
      <c r="D50" s="375"/>
      <c r="E50" s="393"/>
      <c r="F50" s="385"/>
      <c r="G50" s="385"/>
      <c r="H50" s="385"/>
      <c r="I50" s="385"/>
      <c r="J50" s="385"/>
      <c r="K50" s="385"/>
      <c r="L50" s="385"/>
      <c r="M50" s="385"/>
      <c r="N50" s="385"/>
      <c r="O50" s="385"/>
    </row>
    <row r="51" spans="1:15">
      <c r="A51" s="252">
        <v>45</v>
      </c>
      <c r="B51" s="253"/>
      <c r="C51" s="254"/>
      <c r="D51" s="375"/>
      <c r="E51" s="393"/>
      <c r="F51" s="385"/>
      <c r="G51" s="385"/>
      <c r="H51" s="385"/>
      <c r="I51" s="385"/>
      <c r="J51" s="385"/>
      <c r="K51" s="385"/>
      <c r="L51" s="385"/>
      <c r="M51" s="385"/>
      <c r="N51" s="385"/>
      <c r="O51" s="385"/>
    </row>
    <row r="52" spans="1:15">
      <c r="A52" s="252">
        <v>46</v>
      </c>
      <c r="B52" s="253"/>
      <c r="C52" s="254"/>
      <c r="D52" s="375"/>
      <c r="E52" s="393"/>
      <c r="F52" s="385"/>
      <c r="G52" s="385"/>
      <c r="H52" s="385"/>
      <c r="I52" s="385"/>
      <c r="J52" s="385"/>
      <c r="K52" s="385"/>
      <c r="L52" s="385"/>
      <c r="M52" s="385"/>
      <c r="N52" s="385"/>
      <c r="O52" s="385"/>
    </row>
    <row r="53" spans="1:15">
      <c r="A53" s="252">
        <v>47</v>
      </c>
      <c r="B53" s="253"/>
      <c r="C53" s="254"/>
      <c r="D53" s="382"/>
      <c r="E53" s="393"/>
      <c r="F53" s="385"/>
      <c r="G53" s="385"/>
      <c r="H53" s="385"/>
      <c r="I53" s="385"/>
      <c r="J53" s="385"/>
      <c r="K53" s="385"/>
      <c r="L53" s="385"/>
      <c r="M53" s="385"/>
      <c r="N53" s="385"/>
      <c r="O53" s="385"/>
    </row>
    <row r="54" spans="1:15">
      <c r="A54" s="252">
        <v>48</v>
      </c>
      <c r="B54" s="253"/>
      <c r="C54" s="254"/>
      <c r="D54" s="382"/>
      <c r="E54" s="393"/>
      <c r="F54" s="385"/>
      <c r="G54" s="385"/>
      <c r="H54" s="385"/>
      <c r="I54" s="385"/>
      <c r="J54" s="385"/>
      <c r="K54" s="385"/>
      <c r="L54" s="385"/>
      <c r="M54" s="385"/>
      <c r="N54" s="385"/>
      <c r="O54" s="385"/>
    </row>
    <row r="55" spans="1:15">
      <c r="A55" s="252">
        <v>49</v>
      </c>
      <c r="B55" s="253"/>
      <c r="C55" s="254"/>
      <c r="D55" s="383"/>
      <c r="E55" s="400"/>
      <c r="F55" s="392"/>
      <c r="G55" s="392"/>
      <c r="H55" s="392"/>
      <c r="I55" s="392"/>
      <c r="J55" s="392"/>
      <c r="K55" s="392"/>
      <c r="L55" s="392"/>
      <c r="M55" s="392"/>
      <c r="N55" s="392"/>
      <c r="O55" s="392"/>
    </row>
    <row r="56" spans="1:15">
      <c r="A56" s="252">
        <v>50</v>
      </c>
      <c r="B56" s="253"/>
      <c r="C56" s="254"/>
      <c r="D56" s="383"/>
      <c r="E56" s="400"/>
      <c r="F56" s="392"/>
      <c r="G56" s="392"/>
      <c r="H56" s="392"/>
      <c r="I56" s="392"/>
      <c r="J56" s="392"/>
      <c r="K56" s="392"/>
      <c r="L56" s="392"/>
      <c r="M56" s="392"/>
      <c r="N56" s="392"/>
      <c r="O56" s="392"/>
    </row>
    <row r="57" spans="1:15" ht="15.75" thickBot="1">
      <c r="A57" s="252">
        <v>51</v>
      </c>
      <c r="B57" s="266"/>
      <c r="C57" s="267"/>
      <c r="D57" s="384"/>
      <c r="E57" s="401"/>
      <c r="F57" s="273"/>
      <c r="G57" s="273"/>
      <c r="H57" s="273"/>
      <c r="I57" s="273"/>
      <c r="J57" s="273"/>
      <c r="K57" s="273"/>
      <c r="L57" s="273"/>
      <c r="M57" s="273"/>
      <c r="N57" s="273"/>
      <c r="O57" s="273"/>
    </row>
    <row r="58" spans="1:15">
      <c r="A58" s="270"/>
      <c r="B58" s="271"/>
      <c r="C58" s="272"/>
      <c r="D58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2"/>
  <dimension ref="A1:N62"/>
  <sheetViews>
    <sheetView topLeftCell="A6" workbookViewId="0">
      <selection activeCell="E25" sqref="E25"/>
    </sheetView>
  </sheetViews>
  <sheetFormatPr defaultRowHeight="1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>
      <c r="A1" s="243"/>
      <c r="B1" s="243"/>
      <c r="C1" s="243"/>
    </row>
    <row r="2" spans="1:14" ht="15" customHeight="1">
      <c r="A2" s="539" t="s">
        <v>373</v>
      </c>
      <c r="B2" s="539"/>
      <c r="C2" s="275"/>
    </row>
    <row r="3" spans="1:14" ht="18.75" customHeight="1">
      <c r="A3" s="539"/>
      <c r="B3" s="539"/>
      <c r="C3" s="275"/>
    </row>
    <row r="4" spans="1:14" ht="15.75" customHeight="1" thickBot="1">
      <c r="A4" s="541"/>
      <c r="B4" s="541"/>
      <c r="C4" s="276"/>
    </row>
    <row r="5" spans="1:14">
      <c r="A5" s="247" t="s">
        <v>2</v>
      </c>
      <c r="B5" s="277" t="s">
        <v>3</v>
      </c>
      <c r="C5" s="374" t="s">
        <v>386</v>
      </c>
      <c r="D5" s="402"/>
      <c r="E5" s="403"/>
      <c r="F5" s="403"/>
      <c r="G5" s="403"/>
      <c r="H5" s="403"/>
      <c r="I5" s="403"/>
      <c r="J5" s="403"/>
      <c r="K5" s="403"/>
      <c r="L5" s="403"/>
      <c r="M5" s="403"/>
      <c r="N5" s="403"/>
    </row>
    <row r="6" spans="1:14">
      <c r="A6" s="278" t="s">
        <v>115</v>
      </c>
      <c r="B6" s="277"/>
      <c r="C6" s="404"/>
      <c r="D6" s="402"/>
      <c r="E6" s="403"/>
      <c r="F6" s="403"/>
      <c r="G6" s="403"/>
      <c r="H6" s="403"/>
      <c r="I6" s="403"/>
      <c r="J6" s="403"/>
      <c r="K6" s="403"/>
      <c r="L6" s="403"/>
      <c r="M6" s="403"/>
      <c r="N6" s="403"/>
    </row>
    <row r="7" spans="1:14">
      <c r="A7" s="253" t="s">
        <v>403</v>
      </c>
      <c r="B7" s="254" t="s">
        <v>404</v>
      </c>
      <c r="C7" s="375">
        <f>SUM('INDICADORES TÉCNICOS MENSAIS'!C7:N7)</f>
        <v>10188.9</v>
      </c>
      <c r="D7" s="400"/>
      <c r="E7" s="392"/>
      <c r="F7" s="392"/>
      <c r="G7" s="392"/>
      <c r="H7" s="392"/>
      <c r="I7" s="392"/>
      <c r="J7" s="392"/>
      <c r="K7" s="392"/>
      <c r="L7" s="392"/>
      <c r="M7" s="392"/>
      <c r="N7" s="392"/>
    </row>
    <row r="8" spans="1:14">
      <c r="A8" s="253" t="s">
        <v>10</v>
      </c>
      <c r="B8" s="254" t="s">
        <v>11</v>
      </c>
      <c r="C8" s="375">
        <f>PERFIL!B6</f>
        <v>8.8000000000000007</v>
      </c>
      <c r="D8" s="393"/>
      <c r="E8" s="385"/>
      <c r="F8" s="385"/>
      <c r="G8" s="385"/>
      <c r="H8" s="385"/>
      <c r="I8" s="385"/>
      <c r="J8" s="385"/>
      <c r="K8" s="385"/>
      <c r="L8" s="385"/>
      <c r="M8" s="385"/>
      <c r="N8" s="385"/>
    </row>
    <row r="9" spans="1:14">
      <c r="A9" s="253" t="s">
        <v>328</v>
      </c>
      <c r="B9" s="254" t="s">
        <v>363</v>
      </c>
      <c r="C9" s="375">
        <f>AVERAGE('INDICADORES TÉCNICOS MENSAIS'!C9:N9)</f>
        <v>11.75</v>
      </c>
      <c r="D9" s="393"/>
      <c r="E9" s="385"/>
      <c r="F9" s="385"/>
      <c r="G9" s="385"/>
      <c r="H9" s="385"/>
      <c r="I9" s="385"/>
      <c r="J9" s="385"/>
      <c r="K9" s="385"/>
      <c r="L9" s="385"/>
      <c r="M9" s="385"/>
      <c r="N9" s="385"/>
    </row>
    <row r="10" spans="1:14">
      <c r="A10" s="253" t="s">
        <v>128</v>
      </c>
      <c r="B10" s="254" t="s">
        <v>363</v>
      </c>
      <c r="C10" s="375">
        <f>AVERAGE('INDICADORES TÉCNICOS MENSAIS'!C10:N10)</f>
        <v>4.916666666666667</v>
      </c>
      <c r="D10" s="400"/>
      <c r="E10" s="392"/>
      <c r="F10" s="392"/>
      <c r="G10" s="392"/>
      <c r="H10" s="392"/>
      <c r="I10" s="392"/>
      <c r="J10" s="392"/>
      <c r="K10" s="392"/>
      <c r="L10" s="392"/>
      <c r="M10" s="392"/>
      <c r="N10" s="392"/>
    </row>
    <row r="11" spans="1:14">
      <c r="A11" s="253" t="s">
        <v>129</v>
      </c>
      <c r="B11" s="254" t="s">
        <v>363</v>
      </c>
      <c r="C11" s="375">
        <f>AVERAGE('INDICADORES TÉCNICOS MENSAIS'!C11:N11)</f>
        <v>3.5</v>
      </c>
      <c r="D11" s="400"/>
      <c r="E11" s="392"/>
      <c r="F11" s="392"/>
      <c r="G11" s="392"/>
      <c r="H11" s="392"/>
      <c r="I11" s="392"/>
      <c r="J11" s="392"/>
      <c r="K11" s="392"/>
      <c r="L11" s="392"/>
      <c r="M11" s="392"/>
      <c r="N11" s="392"/>
    </row>
    <row r="12" spans="1:14">
      <c r="A12" s="253" t="s">
        <v>122</v>
      </c>
      <c r="B12" s="254" t="s">
        <v>363</v>
      </c>
      <c r="C12" s="375">
        <f>AVERAGE('INDICADORES TÉCNICOS MENSAIS'!C12:N12)</f>
        <v>1.4166666666666667</v>
      </c>
      <c r="D12" s="400"/>
      <c r="E12" s="392"/>
      <c r="F12" s="392"/>
      <c r="G12" s="392"/>
      <c r="H12" s="392"/>
      <c r="I12" s="392"/>
      <c r="J12" s="392"/>
      <c r="K12" s="392"/>
      <c r="L12" s="392"/>
      <c r="M12" s="392"/>
      <c r="N12" s="392"/>
    </row>
    <row r="13" spans="1:14">
      <c r="A13" s="253" t="s">
        <v>246</v>
      </c>
      <c r="B13" s="254" t="s">
        <v>363</v>
      </c>
      <c r="C13" s="375">
        <f>AVERAGE('INDICADORES TÉCNICOS MENSAIS'!C13:N13)</f>
        <v>3.75</v>
      </c>
      <c r="D13" s="400"/>
      <c r="E13" s="392"/>
      <c r="F13" s="392"/>
      <c r="G13" s="392"/>
      <c r="H13" s="392"/>
      <c r="I13" s="392"/>
      <c r="J13" s="392"/>
      <c r="K13" s="392"/>
      <c r="L13" s="392"/>
      <c r="M13" s="392"/>
      <c r="N13" s="392"/>
    </row>
    <row r="14" spans="1:14">
      <c r="A14" s="253" t="s">
        <v>325</v>
      </c>
      <c r="B14" s="254" t="s">
        <v>363</v>
      </c>
      <c r="C14" s="375">
        <f>AVERAGE('INDICADORES TÉCNICOS MENSAIS'!C14:N14)</f>
        <v>0.25</v>
      </c>
      <c r="D14" s="400"/>
      <c r="E14" s="392"/>
      <c r="F14" s="392"/>
      <c r="G14" s="392"/>
      <c r="H14" s="392"/>
      <c r="I14" s="392"/>
      <c r="J14" s="392"/>
      <c r="K14" s="392"/>
      <c r="L14" s="392"/>
      <c r="M14" s="392"/>
      <c r="N14" s="392"/>
    </row>
    <row r="15" spans="1:14">
      <c r="A15" s="253" t="s">
        <v>326</v>
      </c>
      <c r="B15" s="254" t="s">
        <v>363</v>
      </c>
      <c r="C15" s="375">
        <f>AVERAGE('INDICADORES TÉCNICOS MENSAIS'!C15:N15)</f>
        <v>2.25</v>
      </c>
      <c r="D15" s="400"/>
      <c r="E15" s="392"/>
      <c r="F15" s="392"/>
      <c r="G15" s="392"/>
      <c r="H15" s="392"/>
      <c r="I15" s="392"/>
      <c r="J15" s="392"/>
      <c r="K15" s="392"/>
      <c r="L15" s="392"/>
      <c r="M15" s="392"/>
      <c r="N15" s="392"/>
    </row>
    <row r="16" spans="1:14">
      <c r="A16" s="253" t="s">
        <v>123</v>
      </c>
      <c r="B16" s="254" t="s">
        <v>363</v>
      </c>
      <c r="C16" s="375">
        <f>AVERAGE('INDICADORES TÉCNICOS MENSAIS'!C16:N16)</f>
        <v>0.58333333333333337</v>
      </c>
      <c r="D16" s="400"/>
      <c r="E16" s="392"/>
      <c r="F16" s="392"/>
      <c r="G16" s="392"/>
      <c r="H16" s="392"/>
      <c r="I16" s="392"/>
      <c r="J16" s="392"/>
      <c r="K16" s="392"/>
      <c r="L16" s="392"/>
      <c r="M16" s="392"/>
      <c r="N16" s="392"/>
    </row>
    <row r="17" spans="1:14">
      <c r="A17" s="281" t="s">
        <v>55</v>
      </c>
      <c r="B17" s="254" t="s">
        <v>363</v>
      </c>
      <c r="C17" s="375">
        <f>AVERAGE('INDICADORES TÉCNICOS MENSAIS'!C17:N17)</f>
        <v>0</v>
      </c>
      <c r="D17" s="400"/>
      <c r="E17" s="392"/>
      <c r="F17" s="392"/>
      <c r="G17" s="392"/>
      <c r="H17" s="392"/>
      <c r="I17" s="392"/>
      <c r="J17" s="392"/>
      <c r="K17" s="392"/>
      <c r="L17" s="392"/>
      <c r="M17" s="392"/>
      <c r="N17" s="392"/>
    </row>
    <row r="18" spans="1:14">
      <c r="A18" s="253" t="s">
        <v>327</v>
      </c>
      <c r="B18" s="254" t="s">
        <v>12</v>
      </c>
      <c r="C18" s="376">
        <f>C11/C10</f>
        <v>0.71186440677966101</v>
      </c>
      <c r="D18" s="394"/>
      <c r="E18" s="386"/>
      <c r="F18" s="386"/>
      <c r="G18" s="386"/>
      <c r="H18" s="386"/>
      <c r="I18" s="386"/>
      <c r="J18" s="386"/>
      <c r="K18" s="386"/>
      <c r="L18" s="386"/>
      <c r="M18" s="386"/>
      <c r="N18" s="386"/>
    </row>
    <row r="19" spans="1:14">
      <c r="A19" s="253" t="s">
        <v>13</v>
      </c>
      <c r="B19" s="254" t="s">
        <v>12</v>
      </c>
      <c r="C19" s="376">
        <f>C11/C9</f>
        <v>0.2978723404255319</v>
      </c>
      <c r="D19" s="394"/>
      <c r="E19" s="386"/>
      <c r="F19" s="386"/>
      <c r="G19" s="386"/>
      <c r="H19" s="386"/>
      <c r="I19" s="386"/>
      <c r="J19" s="386"/>
      <c r="K19" s="386"/>
      <c r="L19" s="386"/>
      <c r="M19" s="386"/>
      <c r="N19" s="386"/>
    </row>
    <row r="20" spans="1:14">
      <c r="A20" s="253" t="s">
        <v>338</v>
      </c>
      <c r="B20" s="254" t="s">
        <v>339</v>
      </c>
      <c r="C20" s="375">
        <f>C11/C8</f>
        <v>0.39772727272727271</v>
      </c>
      <c r="D20" s="393"/>
      <c r="E20" s="385"/>
      <c r="F20" s="385"/>
      <c r="G20" s="385"/>
      <c r="H20" s="385"/>
      <c r="I20" s="385"/>
      <c r="J20" s="385"/>
      <c r="K20" s="385"/>
      <c r="L20" s="385"/>
      <c r="M20" s="385"/>
      <c r="N20" s="385"/>
    </row>
    <row r="21" spans="1:14">
      <c r="A21" s="253" t="s">
        <v>367</v>
      </c>
      <c r="B21" s="254"/>
      <c r="C21" s="375" t="e">
        <f>C11/PERFIL!B8</f>
        <v>#DIV/0!</v>
      </c>
      <c r="D21" s="393"/>
      <c r="E21" s="385"/>
      <c r="F21" s="385"/>
      <c r="G21" s="385"/>
      <c r="H21" s="385"/>
      <c r="I21" s="385"/>
      <c r="J21" s="385"/>
      <c r="K21" s="385"/>
      <c r="L21" s="385"/>
      <c r="M21" s="385"/>
      <c r="N21" s="385"/>
    </row>
    <row r="22" spans="1:14">
      <c r="A22" s="253" t="s">
        <v>340</v>
      </c>
      <c r="B22" s="254" t="s">
        <v>404</v>
      </c>
      <c r="C22" s="375">
        <f>C7/C11</f>
        <v>2911.1142857142854</v>
      </c>
      <c r="D22" s="393"/>
      <c r="E22" s="385"/>
      <c r="F22" s="385"/>
      <c r="G22" s="385"/>
      <c r="H22" s="385"/>
      <c r="I22" s="385"/>
      <c r="J22" s="385"/>
      <c r="K22" s="385"/>
      <c r="L22" s="385"/>
      <c r="M22" s="385"/>
      <c r="N22" s="385"/>
    </row>
    <row r="23" spans="1:14">
      <c r="A23" s="415" t="s">
        <v>343</v>
      </c>
      <c r="B23" s="416" t="s">
        <v>14</v>
      </c>
      <c r="C23" s="417" t="e">
        <f>C7/PERFIL!B8</f>
        <v>#DIV/0!</v>
      </c>
      <c r="D23" s="395"/>
      <c r="E23" s="387"/>
      <c r="F23" s="387"/>
      <c r="G23" s="387"/>
      <c r="H23" s="387"/>
      <c r="I23" s="387"/>
      <c r="J23" s="387"/>
      <c r="K23" s="387"/>
      <c r="L23" s="387"/>
      <c r="M23" s="387"/>
      <c r="N23" s="387"/>
    </row>
    <row r="24" spans="1:14">
      <c r="A24" s="253" t="s">
        <v>392</v>
      </c>
      <c r="B24" s="254" t="s">
        <v>344</v>
      </c>
      <c r="C24" s="379">
        <f>C7/C8</f>
        <v>1157.8295454545453</v>
      </c>
      <c r="D24" s="397"/>
      <c r="E24" s="389"/>
      <c r="F24" s="389"/>
      <c r="G24" s="389"/>
      <c r="H24" s="389"/>
      <c r="I24" s="389"/>
      <c r="J24" s="389"/>
      <c r="K24" s="389"/>
      <c r="L24" s="389"/>
      <c r="M24" s="389"/>
      <c r="N24" s="389"/>
    </row>
    <row r="25" spans="1:14">
      <c r="A25" s="253"/>
      <c r="B25" s="254"/>
      <c r="C25" s="375"/>
      <c r="D25" s="393"/>
      <c r="E25" s="385"/>
      <c r="F25" s="385"/>
      <c r="G25" s="385"/>
      <c r="H25" s="385"/>
      <c r="I25" s="385"/>
      <c r="J25" s="385"/>
      <c r="K25" s="385"/>
      <c r="L25" s="385"/>
      <c r="M25" s="385"/>
      <c r="N25" s="385"/>
    </row>
    <row r="26" spans="1:14">
      <c r="A26" s="253"/>
      <c r="B26" s="254"/>
      <c r="C26" s="375"/>
      <c r="D26" s="393"/>
      <c r="E26" s="385"/>
      <c r="F26" s="385"/>
      <c r="G26" s="385"/>
      <c r="H26" s="385"/>
      <c r="I26" s="385"/>
      <c r="J26" s="385"/>
      <c r="K26" s="385"/>
      <c r="L26" s="385"/>
      <c r="M26" s="385"/>
      <c r="N26" s="385"/>
    </row>
    <row r="27" spans="1:14">
      <c r="A27" s="282" t="s">
        <v>114</v>
      </c>
      <c r="B27" s="283"/>
      <c r="C27" s="405"/>
      <c r="D27" s="393"/>
      <c r="E27" s="385"/>
      <c r="F27" s="385"/>
      <c r="G27" s="385"/>
      <c r="H27" s="385"/>
      <c r="I27" s="385"/>
      <c r="J27" s="385"/>
      <c r="K27" s="385"/>
      <c r="L27" s="385"/>
      <c r="M27" s="385"/>
      <c r="N27" s="385"/>
    </row>
    <row r="28" spans="1:14">
      <c r="A28" s="286" t="s">
        <v>284</v>
      </c>
      <c r="B28" s="255"/>
      <c r="C28" s="413">
        <f>AVERAGE('INDICADORES TÉCNICOS MENSAIS'!C28:N28)</f>
        <v>0</v>
      </c>
      <c r="D28" s="408"/>
      <c r="E28" s="270"/>
      <c r="F28" s="270"/>
      <c r="G28" s="270"/>
      <c r="H28" s="270"/>
      <c r="I28" s="270"/>
      <c r="J28" s="270"/>
      <c r="K28" s="270"/>
      <c r="L28" s="270"/>
      <c r="M28" s="270"/>
      <c r="N28" s="270"/>
    </row>
    <row r="29" spans="1:14">
      <c r="A29" s="286" t="s">
        <v>285</v>
      </c>
      <c r="B29" s="255"/>
      <c r="C29" s="413">
        <f>AVERAGE('INDICADORES TÉCNICOS MENSAIS'!C29:N29)</f>
        <v>0</v>
      </c>
      <c r="D29" s="408"/>
      <c r="E29" s="270"/>
      <c r="F29" s="270"/>
      <c r="G29" s="270"/>
      <c r="H29" s="270"/>
      <c r="I29" s="270"/>
      <c r="J29" s="270"/>
      <c r="K29" s="270"/>
      <c r="L29" s="270"/>
      <c r="M29" s="270"/>
      <c r="N29" s="270"/>
    </row>
    <row r="30" spans="1:14">
      <c r="A30" s="286" t="s">
        <v>286</v>
      </c>
      <c r="B30" s="255"/>
      <c r="C30" s="413">
        <f>AVERAGE('INDICADORES TÉCNICOS MENSAIS'!C30:N30)</f>
        <v>0</v>
      </c>
      <c r="D30" s="408"/>
      <c r="E30" s="270"/>
      <c r="F30" s="270"/>
      <c r="G30" s="270"/>
      <c r="H30" s="270"/>
      <c r="I30" s="270"/>
      <c r="J30" s="270"/>
      <c r="K30" s="270"/>
      <c r="L30" s="270"/>
      <c r="M30" s="270"/>
      <c r="N30" s="270"/>
    </row>
    <row r="31" spans="1:14">
      <c r="A31" s="286" t="s">
        <v>287</v>
      </c>
      <c r="B31" s="255"/>
      <c r="C31" s="413">
        <f>AVERAGE('INDICADORES TÉCNICOS MENSAIS'!C31:N31)</f>
        <v>0</v>
      </c>
      <c r="D31" s="408"/>
      <c r="E31" s="270"/>
      <c r="F31" s="270"/>
      <c r="G31" s="270"/>
      <c r="H31" s="270"/>
      <c r="I31" s="270"/>
      <c r="J31" s="270"/>
      <c r="K31" s="270"/>
      <c r="L31" s="270"/>
      <c r="M31" s="270"/>
      <c r="N31" s="270"/>
    </row>
    <row r="32" spans="1:14">
      <c r="A32" s="286" t="s">
        <v>288</v>
      </c>
      <c r="B32" s="255"/>
      <c r="C32" s="413">
        <f>AVERAGE('INDICADORES TÉCNICOS MENSAIS'!C32:N32)</f>
        <v>0</v>
      </c>
      <c r="D32" s="408"/>
      <c r="E32" s="270"/>
      <c r="F32" s="270"/>
      <c r="G32" s="270"/>
      <c r="H32" s="270"/>
      <c r="I32" s="270"/>
      <c r="J32" s="270"/>
      <c r="K32" s="270"/>
      <c r="L32" s="270"/>
      <c r="M32" s="270"/>
      <c r="N32" s="270"/>
    </row>
    <row r="33" spans="1:14">
      <c r="A33" s="286" t="s">
        <v>289</v>
      </c>
      <c r="B33" s="255"/>
      <c r="C33" s="413">
        <f>AVERAGE('INDICADORES TÉCNICOS MENSAIS'!C33:N33)</f>
        <v>0</v>
      </c>
      <c r="D33" s="408"/>
      <c r="E33" s="270"/>
      <c r="F33" s="270"/>
      <c r="G33" s="270"/>
      <c r="H33" s="270"/>
      <c r="I33" s="270"/>
      <c r="J33" s="270"/>
      <c r="K33" s="270"/>
      <c r="L33" s="270"/>
      <c r="M33" s="270"/>
      <c r="N33" s="270"/>
    </row>
    <row r="34" spans="1:14">
      <c r="A34" s="286" t="s">
        <v>290</v>
      </c>
      <c r="B34" s="255"/>
      <c r="C34" s="413">
        <f>AVERAGE('INDICADORES TÉCNICOS MENSAIS'!C34:N34)</f>
        <v>0</v>
      </c>
      <c r="D34" s="408"/>
      <c r="E34" s="270"/>
      <c r="F34" s="270"/>
      <c r="G34" s="270"/>
      <c r="H34" s="270"/>
      <c r="I34" s="270"/>
      <c r="J34" s="270"/>
      <c r="K34" s="270"/>
      <c r="L34" s="270"/>
      <c r="M34" s="270"/>
      <c r="N34" s="270"/>
    </row>
    <row r="35" spans="1:14">
      <c r="A35" s="286" t="s">
        <v>291</v>
      </c>
      <c r="B35" s="255"/>
      <c r="C35" s="413">
        <f>AVERAGE('INDICADORES TÉCNICOS MENSAIS'!C35:N35)</f>
        <v>0</v>
      </c>
      <c r="D35" s="408"/>
      <c r="E35" s="270"/>
      <c r="F35" s="270"/>
      <c r="G35" s="270"/>
      <c r="H35" s="270"/>
      <c r="I35" s="270"/>
      <c r="J35" s="270"/>
      <c r="K35" s="270"/>
      <c r="L35" s="270"/>
      <c r="M35" s="270"/>
      <c r="N35" s="270"/>
    </row>
    <row r="36" spans="1:14">
      <c r="A36" s="252"/>
      <c r="B36" s="254"/>
      <c r="C36" s="377"/>
      <c r="D36" s="395"/>
      <c r="E36" s="387"/>
      <c r="F36" s="387"/>
      <c r="G36" s="387"/>
      <c r="H36" s="387"/>
      <c r="I36" s="387"/>
      <c r="J36" s="387"/>
      <c r="K36" s="387"/>
      <c r="L36" s="387"/>
      <c r="M36" s="387"/>
      <c r="N36" s="387"/>
    </row>
    <row r="37" spans="1:14" s="251" customFormat="1">
      <c r="A37" s="282" t="s">
        <v>116</v>
      </c>
      <c r="B37" s="283"/>
      <c r="C37" s="406"/>
      <c r="D37" s="409"/>
      <c r="E37" s="407"/>
      <c r="F37" s="407"/>
      <c r="G37" s="407"/>
      <c r="H37" s="407"/>
      <c r="I37" s="407"/>
      <c r="J37" s="407"/>
      <c r="K37" s="407"/>
      <c r="L37" s="407"/>
      <c r="M37" s="407"/>
      <c r="N37" s="407"/>
    </row>
    <row r="38" spans="1:14">
      <c r="A38" s="343" t="s">
        <v>95</v>
      </c>
      <c r="B38" s="254"/>
      <c r="C38" s="375"/>
      <c r="D38" s="393"/>
      <c r="E38" s="385"/>
      <c r="F38" s="385"/>
      <c r="G38" s="385"/>
      <c r="H38" s="385"/>
      <c r="I38" s="385"/>
      <c r="J38" s="385"/>
      <c r="K38" s="385"/>
      <c r="L38" s="385"/>
      <c r="M38" s="385"/>
      <c r="N38" s="385"/>
    </row>
    <row r="39" spans="1:14">
      <c r="A39" s="343" t="s">
        <v>96</v>
      </c>
      <c r="B39" s="254"/>
      <c r="C39" s="375"/>
      <c r="D39" s="393"/>
      <c r="E39" s="385"/>
      <c r="F39" s="385"/>
      <c r="G39" s="385"/>
      <c r="H39" s="385"/>
      <c r="I39" s="385"/>
      <c r="J39" s="385"/>
      <c r="K39" s="385"/>
      <c r="L39" s="385"/>
      <c r="M39" s="385"/>
      <c r="N39" s="385"/>
    </row>
    <row r="40" spans="1:14">
      <c r="A40" s="343" t="s">
        <v>97</v>
      </c>
      <c r="B40" s="254"/>
      <c r="C40" s="375"/>
      <c r="D40" s="393"/>
      <c r="E40" s="385"/>
      <c r="F40" s="385"/>
      <c r="G40" s="385"/>
      <c r="H40" s="385"/>
      <c r="I40" s="385"/>
      <c r="J40" s="385"/>
      <c r="K40" s="385"/>
      <c r="L40" s="385"/>
      <c r="M40" s="385"/>
      <c r="N40" s="385"/>
    </row>
    <row r="41" spans="1:14">
      <c r="A41" s="343" t="s">
        <v>98</v>
      </c>
      <c r="B41" s="254"/>
      <c r="C41" s="375"/>
      <c r="D41" s="393"/>
      <c r="E41" s="385"/>
      <c r="F41" s="385"/>
      <c r="G41" s="385"/>
      <c r="H41" s="385"/>
      <c r="I41" s="385"/>
      <c r="J41" s="385"/>
      <c r="K41" s="385"/>
      <c r="L41" s="385"/>
      <c r="M41" s="385"/>
      <c r="N41" s="385"/>
    </row>
    <row r="42" spans="1:14">
      <c r="A42" s="343" t="s">
        <v>99</v>
      </c>
      <c r="B42" s="254"/>
      <c r="C42" s="375"/>
      <c r="D42" s="393"/>
      <c r="E42" s="385"/>
      <c r="F42" s="385"/>
      <c r="G42" s="385"/>
      <c r="H42" s="385"/>
      <c r="I42" s="385"/>
      <c r="J42" s="385"/>
      <c r="K42" s="385"/>
      <c r="L42" s="385"/>
      <c r="M42" s="385"/>
      <c r="N42" s="385"/>
    </row>
    <row r="43" spans="1:14">
      <c r="A43" s="253"/>
      <c r="B43" s="254"/>
      <c r="C43" s="375"/>
      <c r="D43" s="393"/>
      <c r="E43" s="385"/>
      <c r="F43" s="385"/>
      <c r="G43" s="385"/>
      <c r="H43" s="385"/>
      <c r="I43" s="385"/>
      <c r="J43" s="385"/>
      <c r="K43" s="385"/>
      <c r="L43" s="385"/>
      <c r="M43" s="385"/>
      <c r="N43" s="385"/>
    </row>
    <row r="44" spans="1:14">
      <c r="A44" s="253"/>
      <c r="B44" s="254"/>
      <c r="C44" s="375"/>
      <c r="D44" s="393"/>
      <c r="E44" s="385"/>
      <c r="F44" s="385"/>
      <c r="G44" s="385"/>
      <c r="H44" s="385"/>
      <c r="I44" s="385"/>
      <c r="J44" s="385"/>
      <c r="K44" s="385"/>
      <c r="L44" s="385"/>
      <c r="M44" s="385"/>
      <c r="N44" s="385"/>
    </row>
    <row r="45" spans="1:14">
      <c r="A45" s="253"/>
      <c r="B45" s="254"/>
      <c r="C45" s="375"/>
      <c r="D45" s="393"/>
      <c r="E45" s="385"/>
      <c r="F45" s="385"/>
      <c r="G45" s="385"/>
      <c r="H45" s="385"/>
      <c r="I45" s="385"/>
      <c r="J45" s="385"/>
      <c r="K45" s="385"/>
      <c r="L45" s="385"/>
      <c r="M45" s="385"/>
      <c r="N45" s="385"/>
    </row>
    <row r="46" spans="1:14">
      <c r="A46" s="253"/>
      <c r="B46" s="254"/>
      <c r="C46" s="375"/>
      <c r="D46" s="393"/>
      <c r="E46" s="385"/>
      <c r="F46" s="385"/>
      <c r="G46" s="385"/>
      <c r="H46" s="385"/>
      <c r="I46" s="385"/>
      <c r="J46" s="385"/>
      <c r="K46" s="385"/>
      <c r="L46" s="385"/>
      <c r="M46" s="385"/>
      <c r="N46" s="385"/>
    </row>
    <row r="47" spans="1:14">
      <c r="A47" s="253"/>
      <c r="B47" s="254"/>
      <c r="C47" s="375"/>
      <c r="D47" s="393"/>
      <c r="E47" s="385"/>
      <c r="F47" s="385"/>
      <c r="G47" s="385"/>
      <c r="H47" s="385"/>
      <c r="I47" s="385"/>
      <c r="J47" s="385"/>
      <c r="K47" s="385"/>
      <c r="L47" s="385"/>
      <c r="M47" s="385"/>
      <c r="N47" s="385"/>
    </row>
    <row r="48" spans="1:14">
      <c r="A48" s="253"/>
      <c r="B48" s="254"/>
      <c r="C48" s="375"/>
      <c r="D48" s="393"/>
      <c r="E48" s="385"/>
      <c r="F48" s="385"/>
      <c r="G48" s="385"/>
      <c r="H48" s="385"/>
      <c r="I48" s="385"/>
      <c r="J48" s="385"/>
      <c r="K48" s="385"/>
      <c r="L48" s="385"/>
      <c r="M48" s="385"/>
      <c r="N48" s="385"/>
    </row>
    <row r="49" spans="1:14">
      <c r="A49" s="253"/>
      <c r="B49" s="254"/>
      <c r="C49" s="375"/>
      <c r="D49" s="393"/>
      <c r="E49" s="385"/>
      <c r="F49" s="385"/>
      <c r="G49" s="385"/>
      <c r="H49" s="385"/>
      <c r="I49" s="385"/>
      <c r="J49" s="385"/>
      <c r="K49" s="385"/>
      <c r="L49" s="385"/>
      <c r="M49" s="385"/>
      <c r="N49" s="385"/>
    </row>
    <row r="50" spans="1:14">
      <c r="A50" s="253"/>
      <c r="B50" s="254"/>
      <c r="C50" s="375"/>
      <c r="D50" s="393"/>
      <c r="E50" s="385"/>
      <c r="F50" s="385"/>
      <c r="G50" s="385"/>
      <c r="H50" s="385"/>
      <c r="I50" s="385"/>
      <c r="J50" s="385"/>
      <c r="K50" s="385"/>
      <c r="L50" s="385"/>
      <c r="M50" s="385"/>
      <c r="N50" s="385"/>
    </row>
    <row r="51" spans="1:14">
      <c r="A51" s="253"/>
      <c r="B51" s="254"/>
      <c r="C51" s="375"/>
      <c r="D51" s="393"/>
      <c r="E51" s="385"/>
      <c r="F51" s="385"/>
      <c r="G51" s="385"/>
      <c r="H51" s="385"/>
      <c r="I51" s="385"/>
      <c r="J51" s="385"/>
      <c r="K51" s="385"/>
      <c r="L51" s="385"/>
      <c r="M51" s="385"/>
      <c r="N51" s="385"/>
    </row>
    <row r="52" spans="1:14">
      <c r="A52" s="253"/>
      <c r="B52" s="254"/>
      <c r="C52" s="375"/>
      <c r="D52" s="393"/>
      <c r="E52" s="385"/>
      <c r="F52" s="385"/>
      <c r="G52" s="385"/>
      <c r="H52" s="385"/>
      <c r="I52" s="385"/>
      <c r="J52" s="385"/>
      <c r="K52" s="385"/>
      <c r="L52" s="385"/>
      <c r="M52" s="385"/>
      <c r="N52" s="385"/>
    </row>
    <row r="53" spans="1:14">
      <c r="A53" s="253"/>
      <c r="B53" s="254"/>
      <c r="C53" s="375"/>
      <c r="D53" s="393"/>
      <c r="E53" s="385"/>
      <c r="F53" s="385"/>
      <c r="G53" s="385"/>
      <c r="H53" s="385"/>
      <c r="I53" s="385"/>
      <c r="J53" s="385"/>
      <c r="K53" s="385"/>
      <c r="L53" s="385"/>
      <c r="M53" s="385"/>
      <c r="N53" s="385"/>
    </row>
    <row r="54" spans="1:14">
      <c r="A54" s="253"/>
      <c r="B54" s="254"/>
      <c r="C54" s="375"/>
      <c r="D54" s="393"/>
      <c r="E54" s="385"/>
      <c r="F54" s="385"/>
      <c r="G54" s="385"/>
      <c r="H54" s="385"/>
      <c r="I54" s="385"/>
      <c r="J54" s="385"/>
      <c r="K54" s="385"/>
      <c r="L54" s="385"/>
      <c r="M54" s="385"/>
      <c r="N54" s="385"/>
    </row>
    <row r="55" spans="1:14">
      <c r="A55" s="253"/>
      <c r="B55" s="254"/>
      <c r="C55" s="375"/>
      <c r="D55" s="393"/>
      <c r="E55" s="385"/>
      <c r="F55" s="385"/>
      <c r="G55" s="385"/>
      <c r="H55" s="385"/>
      <c r="I55" s="385"/>
      <c r="J55" s="385"/>
      <c r="K55" s="385"/>
      <c r="L55" s="385"/>
      <c r="M55" s="385"/>
      <c r="N55" s="385"/>
    </row>
    <row r="56" spans="1:14">
      <c r="A56" s="253"/>
      <c r="B56" s="254"/>
      <c r="C56" s="375"/>
      <c r="D56" s="393"/>
      <c r="E56" s="385"/>
      <c r="F56" s="385"/>
      <c r="G56" s="385"/>
      <c r="H56" s="385"/>
      <c r="I56" s="385"/>
      <c r="J56" s="385"/>
      <c r="K56" s="385"/>
      <c r="L56" s="385"/>
      <c r="M56" s="385"/>
      <c r="N56" s="385"/>
    </row>
    <row r="57" spans="1:14">
      <c r="A57" s="253"/>
      <c r="B57" s="254"/>
      <c r="C57" s="382"/>
      <c r="D57" s="393"/>
      <c r="E57" s="385"/>
      <c r="F57" s="385"/>
      <c r="G57" s="385"/>
      <c r="H57" s="385"/>
      <c r="I57" s="385"/>
      <c r="J57" s="385"/>
      <c r="K57" s="385"/>
      <c r="L57" s="385"/>
      <c r="M57" s="385"/>
      <c r="N57" s="385"/>
    </row>
    <row r="58" spans="1:14">
      <c r="A58" s="253"/>
      <c r="B58" s="254"/>
      <c r="C58" s="382"/>
      <c r="D58" s="393"/>
      <c r="E58" s="385"/>
      <c r="F58" s="385"/>
      <c r="G58" s="385"/>
      <c r="H58" s="385"/>
      <c r="I58" s="385"/>
      <c r="J58" s="385"/>
      <c r="K58" s="385"/>
      <c r="L58" s="385"/>
      <c r="M58" s="385"/>
      <c r="N58" s="385"/>
    </row>
    <row r="59" spans="1:14">
      <c r="A59" s="253"/>
      <c r="B59" s="260"/>
      <c r="C59" s="383"/>
      <c r="D59" s="400"/>
      <c r="E59" s="392"/>
      <c r="F59" s="392"/>
      <c r="G59" s="392"/>
      <c r="H59" s="392"/>
      <c r="I59" s="392"/>
      <c r="J59" s="392"/>
      <c r="K59" s="392"/>
      <c r="L59" s="392"/>
      <c r="M59" s="392"/>
      <c r="N59" s="392"/>
    </row>
    <row r="60" spans="1:14">
      <c r="A60" s="261"/>
      <c r="B60" s="260"/>
      <c r="C60" s="383"/>
      <c r="D60" s="400"/>
      <c r="E60" s="392"/>
      <c r="F60" s="392"/>
      <c r="G60" s="392"/>
      <c r="H60" s="392"/>
      <c r="I60" s="392"/>
      <c r="J60" s="392"/>
      <c r="K60" s="392"/>
      <c r="L60" s="392"/>
      <c r="M60" s="392"/>
      <c r="N60" s="392"/>
    </row>
    <row r="61" spans="1:14" ht="15.75" thickBot="1">
      <c r="A61" s="289"/>
      <c r="B61" s="290"/>
      <c r="C61" s="384"/>
      <c r="D61" s="401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>
      <c r="A62" s="271"/>
      <c r="B62" s="272"/>
      <c r="C6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3"/>
  <dimension ref="A1:N23"/>
  <sheetViews>
    <sheetView workbookViewId="0">
      <selection activeCell="C4" sqref="C4:E4"/>
    </sheetView>
  </sheetViews>
  <sheetFormatPr defaultRowHeight="1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>
      <c r="A1" s="546" t="s">
        <v>224</v>
      </c>
      <c r="B1" s="547"/>
      <c r="C1" s="547"/>
      <c r="D1" s="547"/>
      <c r="E1" s="548"/>
      <c r="G1" s="546" t="s">
        <v>225</v>
      </c>
      <c r="H1" s="548"/>
      <c r="J1" s="549" t="s">
        <v>226</v>
      </c>
      <c r="K1" s="550"/>
    </row>
    <row r="2" spans="1:11" ht="15.75">
      <c r="A2" s="158"/>
      <c r="B2" s="159"/>
      <c r="C2" s="159"/>
      <c r="D2" s="159"/>
      <c r="E2" s="160"/>
      <c r="G2" s="158"/>
      <c r="H2" s="160"/>
      <c r="J2" s="161"/>
      <c r="K2" s="162" t="s">
        <v>12</v>
      </c>
    </row>
    <row r="3" spans="1:11" ht="15.75">
      <c r="A3" s="542" t="s">
        <v>227</v>
      </c>
      <c r="B3" s="551"/>
      <c r="C3" s="552"/>
      <c r="D3" s="552"/>
      <c r="E3" s="553"/>
      <c r="G3" s="163"/>
      <c r="H3" s="164"/>
      <c r="J3" s="165" t="s">
        <v>228</v>
      </c>
      <c r="K3" s="166">
        <v>35</v>
      </c>
    </row>
    <row r="4" spans="1:11" ht="15.75">
      <c r="A4" s="542"/>
      <c r="B4" s="543"/>
      <c r="C4" s="544"/>
      <c r="D4" s="544"/>
      <c r="E4" s="545"/>
      <c r="G4" s="167" t="s">
        <v>229</v>
      </c>
      <c r="H4" s="164">
        <f>D14</f>
        <v>50.15</v>
      </c>
      <c r="J4" s="165" t="s">
        <v>230</v>
      </c>
      <c r="K4" s="166">
        <v>37</v>
      </c>
    </row>
    <row r="5" spans="1:11" ht="15.75">
      <c r="A5" s="158"/>
      <c r="B5" s="159"/>
      <c r="C5" s="159"/>
      <c r="D5" s="159"/>
      <c r="E5" s="160"/>
      <c r="G5" s="167" t="s">
        <v>231</v>
      </c>
      <c r="H5" s="168">
        <f>H4*450/1000</f>
        <v>22.567499999999999</v>
      </c>
      <c r="J5" s="165" t="s">
        <v>232</v>
      </c>
      <c r="K5" s="166">
        <v>23</v>
      </c>
    </row>
    <row r="6" spans="1:11" ht="15.75">
      <c r="A6" s="169" t="s">
        <v>233</v>
      </c>
      <c r="B6" s="169" t="s">
        <v>117</v>
      </c>
      <c r="C6" s="169" t="s">
        <v>234</v>
      </c>
      <c r="D6" s="169" t="s">
        <v>235</v>
      </c>
      <c r="E6" s="160"/>
      <c r="G6" s="163" t="s">
        <v>236</v>
      </c>
      <c r="H6" s="170">
        <v>2.5000000000000001E-2</v>
      </c>
      <c r="J6" s="165" t="s">
        <v>237</v>
      </c>
      <c r="K6" s="166">
        <v>92</v>
      </c>
    </row>
    <row r="7" spans="1:11" ht="15.75">
      <c r="A7" s="171"/>
      <c r="B7" s="172" t="s">
        <v>238</v>
      </c>
      <c r="C7" s="171"/>
      <c r="D7" s="173">
        <f>SUM(D8:D12)</f>
        <v>50.15</v>
      </c>
      <c r="E7" s="160"/>
      <c r="G7" s="163" t="s">
        <v>239</v>
      </c>
      <c r="H7" s="174">
        <f>H6*H5</f>
        <v>0.56418749999999995</v>
      </c>
      <c r="J7" s="165" t="s">
        <v>240</v>
      </c>
      <c r="K7" s="166">
        <v>85</v>
      </c>
    </row>
    <row r="8" spans="1:11" ht="15.75">
      <c r="A8" s="175">
        <v>1</v>
      </c>
      <c r="B8" s="171" t="s">
        <v>241</v>
      </c>
      <c r="C8" s="176">
        <v>1.5</v>
      </c>
      <c r="D8" s="177">
        <f t="shared" ref="D8:D13" si="0">A8*C8</f>
        <v>1.5</v>
      </c>
      <c r="E8" s="160"/>
      <c r="G8" s="167" t="s">
        <v>242</v>
      </c>
      <c r="H8" s="170">
        <v>0.35</v>
      </c>
      <c r="J8" s="165" t="s">
        <v>145</v>
      </c>
      <c r="K8" s="166">
        <v>10</v>
      </c>
    </row>
    <row r="9" spans="1:11" ht="15.75">
      <c r="A9" s="175">
        <v>25</v>
      </c>
      <c r="B9" s="171" t="s">
        <v>243</v>
      </c>
      <c r="C9" s="176">
        <v>1</v>
      </c>
      <c r="D9" s="177">
        <f t="shared" si="0"/>
        <v>25</v>
      </c>
      <c r="E9" s="160"/>
      <c r="G9" s="167" t="s">
        <v>244</v>
      </c>
      <c r="H9" s="170">
        <v>0.7</v>
      </c>
      <c r="J9" s="165" t="s">
        <v>245</v>
      </c>
      <c r="K9" s="166">
        <v>23</v>
      </c>
    </row>
    <row r="10" spans="1:11" ht="15.75">
      <c r="A10" s="175">
        <v>22</v>
      </c>
      <c r="B10" s="171" t="s">
        <v>246</v>
      </c>
      <c r="C10" s="176">
        <v>1</v>
      </c>
      <c r="D10" s="177">
        <f t="shared" si="0"/>
        <v>22</v>
      </c>
      <c r="E10" s="160"/>
      <c r="G10" s="167" t="s">
        <v>247</v>
      </c>
      <c r="H10" s="174">
        <f>H7/H8*H9</f>
        <v>1.1283749999999999</v>
      </c>
      <c r="J10" s="178"/>
      <c r="K10" s="168"/>
    </row>
    <row r="11" spans="1:11" ht="15.75">
      <c r="A11" s="175">
        <v>0</v>
      </c>
      <c r="B11" s="171" t="s">
        <v>248</v>
      </c>
      <c r="C11" s="176">
        <v>0.5</v>
      </c>
      <c r="D11" s="177">
        <f t="shared" si="0"/>
        <v>0</v>
      </c>
      <c r="E11" s="160"/>
      <c r="G11" s="167" t="s">
        <v>249</v>
      </c>
      <c r="H11" s="179">
        <f>H10*1000</f>
        <v>1128.375</v>
      </c>
      <c r="J11" s="178"/>
      <c r="K11" s="168"/>
    </row>
    <row r="12" spans="1:11" ht="15.75">
      <c r="A12" s="180">
        <v>5</v>
      </c>
      <c r="B12" s="181" t="s">
        <v>250</v>
      </c>
      <c r="C12" s="182">
        <v>0.33</v>
      </c>
      <c r="D12" s="177">
        <f t="shared" si="0"/>
        <v>1.6500000000000001</v>
      </c>
      <c r="E12" s="160"/>
      <c r="G12" s="167" t="s">
        <v>251</v>
      </c>
      <c r="H12" s="183">
        <v>180</v>
      </c>
      <c r="J12" s="178"/>
      <c r="K12" s="168"/>
    </row>
    <row r="13" spans="1:11" ht="15.75">
      <c r="A13" s="180"/>
      <c r="B13" s="184" t="s">
        <v>252</v>
      </c>
      <c r="C13" s="182">
        <v>1.5</v>
      </c>
      <c r="D13" s="185">
        <f t="shared" si="0"/>
        <v>0</v>
      </c>
      <c r="E13" s="160"/>
      <c r="G13" s="167" t="s">
        <v>253</v>
      </c>
      <c r="H13" s="179">
        <f>H10*H12</f>
        <v>203.10749999999999</v>
      </c>
      <c r="J13" s="178"/>
      <c r="K13" s="168"/>
    </row>
    <row r="14" spans="1:11" ht="15.75">
      <c r="A14" s="158"/>
      <c r="B14" s="159"/>
      <c r="C14" s="186" t="s">
        <v>254</v>
      </c>
      <c r="D14" s="187">
        <f>SUM(D8:D13)</f>
        <v>50.15</v>
      </c>
      <c r="E14" s="160"/>
      <c r="G14" s="163" t="s">
        <v>255</v>
      </c>
      <c r="H14" s="179">
        <f>H11*H12</f>
        <v>203107.5</v>
      </c>
      <c r="J14" s="188"/>
      <c r="K14" s="168"/>
    </row>
    <row r="15" spans="1:11" ht="15.75">
      <c r="A15" s="189"/>
      <c r="B15" s="190"/>
      <c r="C15" s="191"/>
      <c r="D15" s="192"/>
      <c r="E15" s="193"/>
      <c r="G15" s="414" t="s">
        <v>405</v>
      </c>
      <c r="H15" s="194">
        <f>H13/0.6</f>
        <v>338.51249999999999</v>
      </c>
      <c r="J15" s="195"/>
      <c r="K15" s="196"/>
    </row>
    <row r="17" spans="1:14">
      <c r="A17" s="197" t="s">
        <v>256</v>
      </c>
      <c r="B17" s="198" t="s">
        <v>257</v>
      </c>
      <c r="C17" s="199" t="s">
        <v>258</v>
      </c>
      <c r="D17" s="200"/>
      <c r="E17" s="200"/>
    </row>
    <row r="18" spans="1:14">
      <c r="A18" s="201">
        <v>10</v>
      </c>
      <c r="B18" s="202">
        <v>3</v>
      </c>
      <c r="C18" s="203">
        <f>A18/B18</f>
        <v>3.3333333333333335</v>
      </c>
    </row>
    <row r="19" spans="1:14">
      <c r="B19" s="204"/>
    </row>
    <row r="20" spans="1:14" ht="18.75">
      <c r="B20" s="204"/>
      <c r="G20" s="418"/>
      <c r="H20" s="419"/>
      <c r="I20" s="419"/>
      <c r="J20" s="419"/>
      <c r="K20" s="419"/>
      <c r="L20" s="419"/>
      <c r="M20" s="419"/>
      <c r="N20" s="419"/>
    </row>
    <row r="21" spans="1:14">
      <c r="B21" s="204"/>
    </row>
    <row r="22" spans="1:14">
      <c r="B22" s="204"/>
    </row>
    <row r="23" spans="1:14">
      <c r="B23" s="204"/>
    </row>
  </sheetData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4"/>
  <dimension ref="A2:E150"/>
  <sheetViews>
    <sheetView workbookViewId="0">
      <selection activeCell="B149" sqref="B149"/>
    </sheetView>
  </sheetViews>
  <sheetFormatPr defaultRowHeight="1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>
      <c r="A2" s="146" t="s">
        <v>442</v>
      </c>
      <c r="B2" s="554"/>
      <c r="C2" s="554"/>
      <c r="D2" s="133"/>
      <c r="E2" s="448"/>
    </row>
    <row r="3" spans="1:5">
      <c r="A3" s="146"/>
      <c r="B3" s="133"/>
      <c r="C3" s="133"/>
      <c r="D3" s="133"/>
      <c r="E3" s="448"/>
    </row>
    <row r="4" spans="1:5">
      <c r="A4" s="432" t="s">
        <v>407</v>
      </c>
      <c r="B4" s="432" t="s">
        <v>3</v>
      </c>
      <c r="C4" s="432" t="s">
        <v>408</v>
      </c>
      <c r="D4" s="432" t="s">
        <v>409</v>
      </c>
      <c r="E4" s="434" t="s">
        <v>410</v>
      </c>
    </row>
    <row r="5" spans="1:5">
      <c r="A5" s="433" t="s">
        <v>411</v>
      </c>
      <c r="B5" s="434" t="s">
        <v>412</v>
      </c>
      <c r="C5" s="427"/>
      <c r="D5" s="435">
        <f t="shared" ref="D5:D18" si="0">+C5*$B$20</f>
        <v>0</v>
      </c>
      <c r="E5" s="427"/>
    </row>
    <row r="6" spans="1:5">
      <c r="A6" s="433" t="s">
        <v>413</v>
      </c>
      <c r="B6" s="434" t="s">
        <v>414</v>
      </c>
      <c r="C6" s="427"/>
      <c r="D6" s="435">
        <f t="shared" si="0"/>
        <v>0</v>
      </c>
      <c r="E6" s="427"/>
    </row>
    <row r="7" spans="1:5">
      <c r="A7" s="433" t="s">
        <v>415</v>
      </c>
      <c r="B7" s="434" t="s">
        <v>414</v>
      </c>
      <c r="C7" s="427"/>
      <c r="D7" s="435">
        <f t="shared" si="0"/>
        <v>0</v>
      </c>
      <c r="E7" s="427"/>
    </row>
    <row r="8" spans="1:5">
      <c r="A8" s="433" t="s">
        <v>416</v>
      </c>
      <c r="B8" s="434" t="s">
        <v>414</v>
      </c>
      <c r="C8" s="427"/>
      <c r="D8" s="435">
        <f t="shared" si="0"/>
        <v>0</v>
      </c>
      <c r="E8" s="427"/>
    </row>
    <row r="9" spans="1:5">
      <c r="A9" s="433" t="s">
        <v>417</v>
      </c>
      <c r="B9" s="434" t="s">
        <v>414</v>
      </c>
      <c r="C9" s="427"/>
      <c r="D9" s="435">
        <f t="shared" si="0"/>
        <v>0</v>
      </c>
      <c r="E9" s="427"/>
    </row>
    <row r="10" spans="1:5">
      <c r="A10" s="433" t="s">
        <v>418</v>
      </c>
      <c r="B10" s="434" t="s">
        <v>419</v>
      </c>
      <c r="C10" s="427"/>
      <c r="D10" s="435">
        <f t="shared" si="0"/>
        <v>0</v>
      </c>
      <c r="E10" s="427"/>
    </row>
    <row r="11" spans="1:5">
      <c r="A11" s="433" t="s">
        <v>420</v>
      </c>
      <c r="B11" s="434" t="s">
        <v>421</v>
      </c>
      <c r="C11" s="427"/>
      <c r="D11" s="435">
        <f t="shared" si="0"/>
        <v>0</v>
      </c>
      <c r="E11" s="427"/>
    </row>
    <row r="12" spans="1:5">
      <c r="A12" s="433" t="s">
        <v>422</v>
      </c>
      <c r="B12" s="434" t="s">
        <v>423</v>
      </c>
      <c r="C12" s="427"/>
      <c r="D12" s="435">
        <f t="shared" si="0"/>
        <v>0</v>
      </c>
      <c r="E12" s="427"/>
    </row>
    <row r="13" spans="1:5">
      <c r="A13" s="433" t="s">
        <v>424</v>
      </c>
      <c r="B13" s="434" t="s">
        <v>423</v>
      </c>
      <c r="C13" s="427"/>
      <c r="D13" s="435">
        <f t="shared" si="0"/>
        <v>0</v>
      </c>
      <c r="E13" s="427"/>
    </row>
    <row r="14" spans="1:5">
      <c r="A14" s="433" t="s">
        <v>425</v>
      </c>
      <c r="B14" s="434" t="s">
        <v>423</v>
      </c>
      <c r="C14" s="427"/>
      <c r="D14" s="435">
        <f t="shared" si="0"/>
        <v>0</v>
      </c>
      <c r="E14" s="427"/>
    </row>
    <row r="15" spans="1:5">
      <c r="A15" s="433" t="s">
        <v>426</v>
      </c>
      <c r="B15" s="434" t="s">
        <v>21</v>
      </c>
      <c r="C15" s="427"/>
      <c r="D15" s="435">
        <f t="shared" si="0"/>
        <v>0</v>
      </c>
      <c r="E15" s="435">
        <v>1</v>
      </c>
    </row>
    <row r="16" spans="1:5">
      <c r="A16" s="433" t="s">
        <v>55</v>
      </c>
      <c r="B16" s="434" t="s">
        <v>21</v>
      </c>
      <c r="C16" s="427"/>
      <c r="D16" s="435">
        <f t="shared" si="0"/>
        <v>0</v>
      </c>
      <c r="E16" s="435">
        <v>1</v>
      </c>
    </row>
    <row r="17" spans="1:5">
      <c r="A17" s="433" t="s">
        <v>55</v>
      </c>
      <c r="B17" s="434" t="s">
        <v>21</v>
      </c>
      <c r="C17" s="427"/>
      <c r="D17" s="435">
        <f t="shared" si="0"/>
        <v>0</v>
      </c>
      <c r="E17" s="435">
        <v>1</v>
      </c>
    </row>
    <row r="18" spans="1:5">
      <c r="A18" s="433" t="s">
        <v>55</v>
      </c>
      <c r="B18" s="434" t="s">
        <v>21</v>
      </c>
      <c r="C18" s="427"/>
      <c r="D18" s="435">
        <f t="shared" si="0"/>
        <v>0</v>
      </c>
      <c r="E18" s="435">
        <v>1</v>
      </c>
    </row>
    <row r="19" spans="1:5">
      <c r="A19" s="133"/>
      <c r="B19" s="133"/>
      <c r="C19" s="133"/>
      <c r="D19" s="133"/>
      <c r="E19" s="448"/>
    </row>
    <row r="20" spans="1:5">
      <c r="A20" s="436" t="s">
        <v>428</v>
      </c>
      <c r="B20" s="428"/>
      <c r="C20" s="133"/>
      <c r="D20" s="133"/>
      <c r="E20" s="448"/>
    </row>
    <row r="21" spans="1:5">
      <c r="A21" s="436" t="s">
        <v>440</v>
      </c>
      <c r="B21" s="437">
        <f>((D5*E5)+(D6*E6)+(D7*E7)+(D8*E8)+(D9*E9)+(D10*E10)+(D11*E11)+(D12*E12)+(D13*E13)+(D14*E14)+(D15*E15)+(D16*E16)+(D17*E17)+(D18*E18))</f>
        <v>0</v>
      </c>
      <c r="C21" s="133"/>
      <c r="D21" s="133"/>
      <c r="E21" s="448"/>
    </row>
    <row r="22" spans="1:5">
      <c r="A22" s="436" t="s">
        <v>429</v>
      </c>
      <c r="B22" s="429"/>
      <c r="C22" s="133"/>
      <c r="D22" s="133"/>
      <c r="E22" s="448"/>
    </row>
    <row r="23" spans="1:5">
      <c r="A23" s="436" t="s">
        <v>430</v>
      </c>
      <c r="B23" s="437">
        <f>IF(B22&gt;0,(B21/B22),0)</f>
        <v>0</v>
      </c>
      <c r="C23" s="133"/>
      <c r="D23" s="133"/>
      <c r="E23" s="448"/>
    </row>
    <row r="24" spans="1:5">
      <c r="A24" s="436" t="s">
        <v>427</v>
      </c>
      <c r="B24" s="430"/>
      <c r="C24" s="133"/>
      <c r="D24" s="133"/>
      <c r="E24" s="133"/>
    </row>
    <row r="25" spans="1:5">
      <c r="A25" s="436" t="s">
        <v>431</v>
      </c>
      <c r="B25" s="437">
        <f>(B21/2)*B24</f>
        <v>0</v>
      </c>
      <c r="C25" s="133"/>
      <c r="D25" s="133"/>
      <c r="E25" s="448"/>
    </row>
    <row r="26" spans="1:5">
      <c r="A26" s="133"/>
      <c r="B26" s="133"/>
      <c r="C26" s="133"/>
      <c r="D26" s="133"/>
      <c r="E26" s="448"/>
    </row>
    <row r="27" spans="1:5">
      <c r="A27" s="146" t="s">
        <v>443</v>
      </c>
      <c r="B27" s="554"/>
      <c r="C27" s="554"/>
      <c r="D27" s="133"/>
      <c r="E27" s="448"/>
    </row>
    <row r="28" spans="1:5">
      <c r="A28" s="146"/>
      <c r="B28" s="133"/>
      <c r="C28" s="133"/>
      <c r="D28" s="133"/>
      <c r="E28" s="448"/>
    </row>
    <row r="29" spans="1:5">
      <c r="A29" s="432" t="s">
        <v>407</v>
      </c>
      <c r="B29" s="432" t="s">
        <v>3</v>
      </c>
      <c r="C29" s="432" t="s">
        <v>408</v>
      </c>
      <c r="D29" s="432" t="s">
        <v>409</v>
      </c>
      <c r="E29" s="434" t="s">
        <v>410</v>
      </c>
    </row>
    <row r="30" spans="1:5">
      <c r="A30" s="433" t="s">
        <v>411</v>
      </c>
      <c r="B30" s="434" t="s">
        <v>412</v>
      </c>
      <c r="C30" s="427"/>
      <c r="D30" s="435">
        <f t="shared" ref="D30:D43" si="1">+C30*$B$45</f>
        <v>0</v>
      </c>
      <c r="E30" s="427"/>
    </row>
    <row r="31" spans="1:5">
      <c r="A31" s="433" t="s">
        <v>413</v>
      </c>
      <c r="B31" s="434" t="s">
        <v>414</v>
      </c>
      <c r="C31" s="427"/>
      <c r="D31" s="435">
        <f t="shared" si="1"/>
        <v>0</v>
      </c>
      <c r="E31" s="427"/>
    </row>
    <row r="32" spans="1:5">
      <c r="A32" s="433" t="s">
        <v>415</v>
      </c>
      <c r="B32" s="434" t="s">
        <v>414</v>
      </c>
      <c r="C32" s="427"/>
      <c r="D32" s="435">
        <f t="shared" si="1"/>
        <v>0</v>
      </c>
      <c r="E32" s="427"/>
    </row>
    <row r="33" spans="1:5">
      <c r="A33" s="433" t="s">
        <v>416</v>
      </c>
      <c r="B33" s="434" t="s">
        <v>414</v>
      </c>
      <c r="C33" s="427"/>
      <c r="D33" s="435">
        <f t="shared" si="1"/>
        <v>0</v>
      </c>
      <c r="E33" s="427"/>
    </row>
    <row r="34" spans="1:5">
      <c r="A34" s="433" t="s">
        <v>417</v>
      </c>
      <c r="B34" s="434" t="s">
        <v>414</v>
      </c>
      <c r="C34" s="427"/>
      <c r="D34" s="435">
        <f t="shared" si="1"/>
        <v>0</v>
      </c>
      <c r="E34" s="427"/>
    </row>
    <row r="35" spans="1:5">
      <c r="A35" s="433" t="s">
        <v>418</v>
      </c>
      <c r="B35" s="434" t="s">
        <v>419</v>
      </c>
      <c r="C35" s="427"/>
      <c r="D35" s="435">
        <f t="shared" si="1"/>
        <v>0</v>
      </c>
      <c r="E35" s="427"/>
    </row>
    <row r="36" spans="1:5">
      <c r="A36" s="433" t="s">
        <v>420</v>
      </c>
      <c r="B36" s="434" t="s">
        <v>421</v>
      </c>
      <c r="C36" s="427"/>
      <c r="D36" s="435">
        <f t="shared" si="1"/>
        <v>0</v>
      </c>
      <c r="E36" s="427"/>
    </row>
    <row r="37" spans="1:5">
      <c r="A37" s="433" t="s">
        <v>422</v>
      </c>
      <c r="B37" s="434" t="s">
        <v>423</v>
      </c>
      <c r="C37" s="427"/>
      <c r="D37" s="435">
        <f t="shared" si="1"/>
        <v>0</v>
      </c>
      <c r="E37" s="427"/>
    </row>
    <row r="38" spans="1:5">
      <c r="A38" s="433" t="s">
        <v>424</v>
      </c>
      <c r="B38" s="434" t="s">
        <v>423</v>
      </c>
      <c r="C38" s="427"/>
      <c r="D38" s="435">
        <f t="shared" si="1"/>
        <v>0</v>
      </c>
      <c r="E38" s="427"/>
    </row>
    <row r="39" spans="1:5">
      <c r="A39" s="433" t="s">
        <v>425</v>
      </c>
      <c r="B39" s="434" t="s">
        <v>423</v>
      </c>
      <c r="C39" s="427"/>
      <c r="D39" s="435">
        <f t="shared" si="1"/>
        <v>0</v>
      </c>
      <c r="E39" s="427"/>
    </row>
    <row r="40" spans="1:5">
      <c r="A40" s="433" t="s">
        <v>426</v>
      </c>
      <c r="B40" s="434" t="s">
        <v>21</v>
      </c>
      <c r="C40" s="427"/>
      <c r="D40" s="435">
        <f t="shared" si="1"/>
        <v>0</v>
      </c>
      <c r="E40" s="435">
        <v>1</v>
      </c>
    </row>
    <row r="41" spans="1:5">
      <c r="A41" s="433" t="s">
        <v>55</v>
      </c>
      <c r="B41" s="434" t="s">
        <v>21</v>
      </c>
      <c r="C41" s="427"/>
      <c r="D41" s="435">
        <f t="shared" si="1"/>
        <v>0</v>
      </c>
      <c r="E41" s="435">
        <v>1</v>
      </c>
    </row>
    <row r="42" spans="1:5">
      <c r="A42" s="433" t="s">
        <v>55</v>
      </c>
      <c r="B42" s="434" t="s">
        <v>21</v>
      </c>
      <c r="C42" s="427"/>
      <c r="D42" s="435">
        <f t="shared" si="1"/>
        <v>0</v>
      </c>
      <c r="E42" s="435">
        <v>1</v>
      </c>
    </row>
    <row r="43" spans="1:5">
      <c r="A43" s="433" t="s">
        <v>55</v>
      </c>
      <c r="B43" s="434" t="s">
        <v>21</v>
      </c>
      <c r="C43" s="427"/>
      <c r="D43" s="435">
        <f t="shared" si="1"/>
        <v>0</v>
      </c>
      <c r="E43" s="435">
        <v>1</v>
      </c>
    </row>
    <row r="44" spans="1:5">
      <c r="A44" s="133"/>
      <c r="B44" s="133"/>
      <c r="C44" s="133"/>
      <c r="D44" s="133"/>
      <c r="E44" s="448"/>
    </row>
    <row r="45" spans="1:5">
      <c r="A45" s="436" t="s">
        <v>428</v>
      </c>
      <c r="B45" s="428"/>
      <c r="C45" s="133"/>
      <c r="D45" s="133"/>
      <c r="E45" s="448"/>
    </row>
    <row r="46" spans="1:5">
      <c r="A46" s="436" t="s">
        <v>441</v>
      </c>
      <c r="B46" s="437">
        <f>((D30*E30)+(D31*E31)+(D32*E32)+(D33*E33)+(D34*E34)+(D35*E35)+(D36*E36)+(D37*E37)+(D38*E38)+(D39*E39)+(D40*E40)+(D41*E41)+(D42*E42)+(D43*E43))</f>
        <v>0</v>
      </c>
      <c r="C46" s="133"/>
      <c r="D46" s="133"/>
      <c r="E46" s="448"/>
    </row>
    <row r="47" spans="1:5">
      <c r="A47" s="436" t="s">
        <v>429</v>
      </c>
      <c r="B47" s="429"/>
      <c r="C47" s="133"/>
      <c r="D47" s="133"/>
      <c r="E47" s="448"/>
    </row>
    <row r="48" spans="1:5">
      <c r="A48" s="436" t="s">
        <v>430</v>
      </c>
      <c r="B48" s="437">
        <f>IF(B47&gt;0,(B46/B47),0)</f>
        <v>0</v>
      </c>
      <c r="C48" s="133"/>
      <c r="D48" s="133"/>
      <c r="E48" s="448"/>
    </row>
    <row r="49" spans="1:5">
      <c r="A49" s="436" t="s">
        <v>427</v>
      </c>
      <c r="B49" s="430"/>
      <c r="C49" s="133"/>
      <c r="D49" s="133"/>
      <c r="E49" s="448"/>
    </row>
    <row r="50" spans="1:5">
      <c r="A50" s="436" t="s">
        <v>431</v>
      </c>
      <c r="B50" s="437">
        <f>(B46/2)*B49</f>
        <v>0</v>
      </c>
      <c r="C50" s="133"/>
      <c r="D50" s="133"/>
      <c r="E50" s="448"/>
    </row>
    <row r="51" spans="1:5">
      <c r="A51" s="146"/>
      <c r="B51" s="438"/>
      <c r="C51" s="133"/>
      <c r="D51" s="133"/>
      <c r="E51" s="448"/>
    </row>
    <row r="52" spans="1:5">
      <c r="A52" s="146" t="s">
        <v>444</v>
      </c>
      <c r="B52" s="554"/>
      <c r="C52" s="554"/>
      <c r="D52" s="133"/>
      <c r="E52" s="448"/>
    </row>
    <row r="53" spans="1:5">
      <c r="A53" s="146"/>
      <c r="B53" s="133"/>
      <c r="C53" s="133"/>
      <c r="D53" s="133"/>
      <c r="E53" s="448"/>
    </row>
    <row r="54" spans="1:5">
      <c r="A54" s="432" t="s">
        <v>407</v>
      </c>
      <c r="B54" s="432" t="s">
        <v>3</v>
      </c>
      <c r="C54" s="432" t="s">
        <v>408</v>
      </c>
      <c r="D54" s="432" t="s">
        <v>409</v>
      </c>
      <c r="E54" s="434" t="s">
        <v>410</v>
      </c>
    </row>
    <row r="55" spans="1:5">
      <c r="A55" s="433" t="s">
        <v>411</v>
      </c>
      <c r="B55" s="434" t="s">
        <v>412</v>
      </c>
      <c r="C55" s="427"/>
      <c r="D55" s="435">
        <f t="shared" ref="D55:D68" si="2">+C55*$B$70</f>
        <v>0</v>
      </c>
      <c r="E55" s="427"/>
    </row>
    <row r="56" spans="1:5">
      <c r="A56" s="433" t="s">
        <v>413</v>
      </c>
      <c r="B56" s="434" t="s">
        <v>414</v>
      </c>
      <c r="C56" s="427"/>
      <c r="D56" s="435">
        <f t="shared" si="2"/>
        <v>0</v>
      </c>
      <c r="E56" s="427"/>
    </row>
    <row r="57" spans="1:5">
      <c r="A57" s="433" t="s">
        <v>415</v>
      </c>
      <c r="B57" s="434" t="s">
        <v>414</v>
      </c>
      <c r="C57" s="427"/>
      <c r="D57" s="435">
        <f t="shared" si="2"/>
        <v>0</v>
      </c>
      <c r="E57" s="427"/>
    </row>
    <row r="58" spans="1:5">
      <c r="A58" s="433" t="s">
        <v>416</v>
      </c>
      <c r="B58" s="434" t="s">
        <v>414</v>
      </c>
      <c r="C58" s="427"/>
      <c r="D58" s="435">
        <f t="shared" si="2"/>
        <v>0</v>
      </c>
      <c r="E58" s="427"/>
    </row>
    <row r="59" spans="1:5">
      <c r="A59" s="433" t="s">
        <v>417</v>
      </c>
      <c r="B59" s="434" t="s">
        <v>414</v>
      </c>
      <c r="C59" s="427"/>
      <c r="D59" s="435">
        <f t="shared" si="2"/>
        <v>0</v>
      </c>
      <c r="E59" s="427"/>
    </row>
    <row r="60" spans="1:5">
      <c r="A60" s="433" t="s">
        <v>418</v>
      </c>
      <c r="B60" s="434" t="s">
        <v>419</v>
      </c>
      <c r="C60" s="427"/>
      <c r="D60" s="435">
        <f t="shared" si="2"/>
        <v>0</v>
      </c>
      <c r="E60" s="427"/>
    </row>
    <row r="61" spans="1:5">
      <c r="A61" s="433" t="s">
        <v>420</v>
      </c>
      <c r="B61" s="434" t="s">
        <v>421</v>
      </c>
      <c r="C61" s="427"/>
      <c r="D61" s="435">
        <f t="shared" si="2"/>
        <v>0</v>
      </c>
      <c r="E61" s="427"/>
    </row>
    <row r="62" spans="1:5">
      <c r="A62" s="433" t="s">
        <v>422</v>
      </c>
      <c r="B62" s="434" t="s">
        <v>423</v>
      </c>
      <c r="C62" s="427"/>
      <c r="D62" s="435">
        <f t="shared" si="2"/>
        <v>0</v>
      </c>
      <c r="E62" s="427"/>
    </row>
    <row r="63" spans="1:5">
      <c r="A63" s="433" t="s">
        <v>424</v>
      </c>
      <c r="B63" s="434" t="s">
        <v>423</v>
      </c>
      <c r="C63" s="427"/>
      <c r="D63" s="435">
        <f t="shared" si="2"/>
        <v>0</v>
      </c>
      <c r="E63" s="427"/>
    </row>
    <row r="64" spans="1:5">
      <c r="A64" s="433" t="s">
        <v>425</v>
      </c>
      <c r="B64" s="434" t="s">
        <v>423</v>
      </c>
      <c r="C64" s="427"/>
      <c r="D64" s="435">
        <f t="shared" si="2"/>
        <v>0</v>
      </c>
      <c r="E64" s="427"/>
    </row>
    <row r="65" spans="1:5">
      <c r="A65" s="433" t="s">
        <v>426</v>
      </c>
      <c r="B65" s="434" t="s">
        <v>21</v>
      </c>
      <c r="C65" s="427"/>
      <c r="D65" s="435">
        <f t="shared" si="2"/>
        <v>0</v>
      </c>
      <c r="E65" s="435">
        <v>1</v>
      </c>
    </row>
    <row r="66" spans="1:5">
      <c r="A66" s="433" t="s">
        <v>55</v>
      </c>
      <c r="B66" s="434" t="s">
        <v>21</v>
      </c>
      <c r="C66" s="427"/>
      <c r="D66" s="435">
        <f t="shared" si="2"/>
        <v>0</v>
      </c>
      <c r="E66" s="435">
        <v>1</v>
      </c>
    </row>
    <row r="67" spans="1:5">
      <c r="A67" s="433" t="s">
        <v>55</v>
      </c>
      <c r="B67" s="434" t="s">
        <v>21</v>
      </c>
      <c r="C67" s="427"/>
      <c r="D67" s="435">
        <f t="shared" si="2"/>
        <v>0</v>
      </c>
      <c r="E67" s="435">
        <v>1</v>
      </c>
    </row>
    <row r="68" spans="1:5">
      <c r="A68" s="433" t="s">
        <v>55</v>
      </c>
      <c r="B68" s="434" t="s">
        <v>21</v>
      </c>
      <c r="C68" s="427"/>
      <c r="D68" s="435">
        <f t="shared" si="2"/>
        <v>0</v>
      </c>
      <c r="E68" s="435">
        <v>1</v>
      </c>
    </row>
    <row r="69" spans="1:5">
      <c r="A69" s="133"/>
      <c r="B69" s="133"/>
      <c r="C69" s="133"/>
      <c r="D69" s="133"/>
      <c r="E69" s="448"/>
    </row>
    <row r="70" spans="1:5">
      <c r="A70" s="436" t="s">
        <v>432</v>
      </c>
      <c r="B70" s="431"/>
      <c r="C70" s="133"/>
      <c r="D70" s="133"/>
      <c r="E70" s="448"/>
    </row>
    <row r="71" spans="1:5">
      <c r="A71" s="436" t="s">
        <v>433</v>
      </c>
      <c r="B71" s="437">
        <f>((D55*E55)+(D56*E56)+(D57*E57)+(D58*E58)+(D59*E59)+(D60*E60)+(D61*E61)+(D62*E62)+(D63*E63)+(D64*E64)+(D65*E65)+(D66*E66)+(D67*E67)+(D68*E68))</f>
        <v>0</v>
      </c>
      <c r="C71" s="133"/>
      <c r="D71" s="133"/>
      <c r="E71" s="448"/>
    </row>
    <row r="72" spans="1:5">
      <c r="A72" s="436" t="s">
        <v>429</v>
      </c>
      <c r="B72" s="429"/>
      <c r="C72" s="133"/>
      <c r="D72" s="133"/>
      <c r="E72" s="448"/>
    </row>
    <row r="73" spans="1:5">
      <c r="A73" s="436" t="s">
        <v>430</v>
      </c>
      <c r="B73" s="437">
        <f>IF(B72&gt;0,(B71/B72),0)</f>
        <v>0</v>
      </c>
      <c r="C73" s="133"/>
      <c r="D73" s="133"/>
      <c r="E73" s="448"/>
    </row>
    <row r="74" spans="1:5">
      <c r="A74" s="436" t="s">
        <v>427</v>
      </c>
      <c r="B74" s="430"/>
      <c r="C74" s="133"/>
      <c r="D74" s="133"/>
      <c r="E74" s="448"/>
    </row>
    <row r="75" spans="1:5">
      <c r="A75" s="436" t="s">
        <v>431</v>
      </c>
      <c r="B75" s="437">
        <f>(B71/2)*B74</f>
        <v>0</v>
      </c>
      <c r="C75" s="133"/>
      <c r="D75" s="133"/>
      <c r="E75" s="448"/>
    </row>
    <row r="76" spans="1:5">
      <c r="A76" s="133"/>
      <c r="B76" s="133"/>
      <c r="C76" s="133"/>
      <c r="D76" s="133"/>
      <c r="E76" s="448"/>
    </row>
    <row r="77" spans="1:5">
      <c r="A77" s="146" t="s">
        <v>445</v>
      </c>
      <c r="B77" s="554"/>
      <c r="C77" s="554"/>
      <c r="D77" s="133"/>
      <c r="E77" s="448"/>
    </row>
    <row r="78" spans="1:5">
      <c r="A78" s="146"/>
      <c r="B78" s="133"/>
      <c r="C78" s="133"/>
      <c r="D78" s="133"/>
      <c r="E78" s="448"/>
    </row>
    <row r="79" spans="1:5">
      <c r="A79" s="432" t="s">
        <v>407</v>
      </c>
      <c r="B79" s="432" t="s">
        <v>3</v>
      </c>
      <c r="C79" s="432" t="s">
        <v>408</v>
      </c>
      <c r="D79" s="432" t="s">
        <v>409</v>
      </c>
      <c r="E79" s="434" t="s">
        <v>410</v>
      </c>
    </row>
    <row r="80" spans="1:5">
      <c r="A80" s="433" t="s">
        <v>411</v>
      </c>
      <c r="B80" s="434" t="s">
        <v>412</v>
      </c>
      <c r="C80" s="427"/>
      <c r="D80" s="435">
        <f t="shared" ref="D80:D93" si="3">+C80*$B$95</f>
        <v>0</v>
      </c>
      <c r="E80" s="427"/>
    </row>
    <row r="81" spans="1:5">
      <c r="A81" s="433" t="s">
        <v>413</v>
      </c>
      <c r="B81" s="434" t="s">
        <v>414</v>
      </c>
      <c r="C81" s="427"/>
      <c r="D81" s="435">
        <f t="shared" si="3"/>
        <v>0</v>
      </c>
      <c r="E81" s="427"/>
    </row>
    <row r="82" spans="1:5">
      <c r="A82" s="433" t="s">
        <v>415</v>
      </c>
      <c r="B82" s="434" t="s">
        <v>414</v>
      </c>
      <c r="C82" s="427"/>
      <c r="D82" s="435">
        <f t="shared" si="3"/>
        <v>0</v>
      </c>
      <c r="E82" s="427"/>
    </row>
    <row r="83" spans="1:5">
      <c r="A83" s="433" t="s">
        <v>416</v>
      </c>
      <c r="B83" s="434" t="s">
        <v>414</v>
      </c>
      <c r="C83" s="427"/>
      <c r="D83" s="435">
        <f t="shared" si="3"/>
        <v>0</v>
      </c>
      <c r="E83" s="427"/>
    </row>
    <row r="84" spans="1:5">
      <c r="A84" s="433" t="s">
        <v>417</v>
      </c>
      <c r="B84" s="434" t="s">
        <v>414</v>
      </c>
      <c r="C84" s="427"/>
      <c r="D84" s="435">
        <f t="shared" si="3"/>
        <v>0</v>
      </c>
      <c r="E84" s="427"/>
    </row>
    <row r="85" spans="1:5">
      <c r="A85" s="433" t="s">
        <v>418</v>
      </c>
      <c r="B85" s="434" t="s">
        <v>419</v>
      </c>
      <c r="C85" s="427"/>
      <c r="D85" s="435">
        <f t="shared" si="3"/>
        <v>0</v>
      </c>
      <c r="E85" s="427"/>
    </row>
    <row r="86" spans="1:5">
      <c r="A86" s="433" t="s">
        <v>420</v>
      </c>
      <c r="B86" s="434" t="s">
        <v>421</v>
      </c>
      <c r="C86" s="427"/>
      <c r="D86" s="435">
        <f t="shared" si="3"/>
        <v>0</v>
      </c>
      <c r="E86" s="427"/>
    </row>
    <row r="87" spans="1:5">
      <c r="A87" s="433" t="s">
        <v>422</v>
      </c>
      <c r="B87" s="434" t="s">
        <v>423</v>
      </c>
      <c r="C87" s="427"/>
      <c r="D87" s="435">
        <f t="shared" si="3"/>
        <v>0</v>
      </c>
      <c r="E87" s="427"/>
    </row>
    <row r="88" spans="1:5">
      <c r="A88" s="433" t="s">
        <v>424</v>
      </c>
      <c r="B88" s="434" t="s">
        <v>423</v>
      </c>
      <c r="C88" s="427"/>
      <c r="D88" s="435">
        <f t="shared" si="3"/>
        <v>0</v>
      </c>
      <c r="E88" s="427"/>
    </row>
    <row r="89" spans="1:5">
      <c r="A89" s="433" t="s">
        <v>425</v>
      </c>
      <c r="B89" s="434" t="s">
        <v>423</v>
      </c>
      <c r="C89" s="427"/>
      <c r="D89" s="435">
        <f t="shared" si="3"/>
        <v>0</v>
      </c>
      <c r="E89" s="427"/>
    </row>
    <row r="90" spans="1:5">
      <c r="A90" s="433" t="s">
        <v>426</v>
      </c>
      <c r="B90" s="434" t="s">
        <v>21</v>
      </c>
      <c r="C90" s="427"/>
      <c r="D90" s="435">
        <f t="shared" si="3"/>
        <v>0</v>
      </c>
      <c r="E90" s="435">
        <v>1</v>
      </c>
    </row>
    <row r="91" spans="1:5">
      <c r="A91" s="433" t="s">
        <v>55</v>
      </c>
      <c r="B91" s="434" t="s">
        <v>21</v>
      </c>
      <c r="C91" s="427"/>
      <c r="D91" s="435">
        <f t="shared" si="3"/>
        <v>0</v>
      </c>
      <c r="E91" s="435">
        <v>1</v>
      </c>
    </row>
    <row r="92" spans="1:5">
      <c r="A92" s="433" t="s">
        <v>55</v>
      </c>
      <c r="B92" s="434" t="s">
        <v>21</v>
      </c>
      <c r="C92" s="427"/>
      <c r="D92" s="435">
        <f t="shared" si="3"/>
        <v>0</v>
      </c>
      <c r="E92" s="435">
        <v>1</v>
      </c>
    </row>
    <row r="93" spans="1:5">
      <c r="A93" s="433" t="s">
        <v>55</v>
      </c>
      <c r="B93" s="434" t="s">
        <v>21</v>
      </c>
      <c r="C93" s="427"/>
      <c r="D93" s="435">
        <f t="shared" si="3"/>
        <v>0</v>
      </c>
      <c r="E93" s="435">
        <v>1</v>
      </c>
    </row>
    <row r="94" spans="1:5">
      <c r="A94" s="133"/>
      <c r="B94" s="133"/>
      <c r="C94" s="133"/>
      <c r="D94" s="133"/>
      <c r="E94" s="448"/>
    </row>
    <row r="95" spans="1:5">
      <c r="A95" s="436" t="s">
        <v>434</v>
      </c>
      <c r="B95" s="428"/>
      <c r="C95" s="133"/>
      <c r="D95" s="133"/>
      <c r="E95" s="448"/>
    </row>
    <row r="96" spans="1:5">
      <c r="A96" s="436" t="s">
        <v>435</v>
      </c>
      <c r="B96" s="437">
        <f>((D80*E80)+(D81*E81)+(D82*E82)+(D83*E83)+(D84*E84)+(D85*E85)+(D86*E86)+(D87*E87)+(D88*E88)+(D89*E89)+(D90*E90)+(D91*E91)+(D92*E92)+(D93*E93))</f>
        <v>0</v>
      </c>
      <c r="C96" s="133"/>
      <c r="D96" s="133"/>
      <c r="E96" s="448"/>
    </row>
    <row r="97" spans="1:5">
      <c r="A97" s="436" t="s">
        <v>429</v>
      </c>
      <c r="B97" s="429"/>
      <c r="C97" s="133"/>
      <c r="D97" s="133"/>
      <c r="E97" s="448"/>
    </row>
    <row r="98" spans="1:5">
      <c r="A98" s="436" t="s">
        <v>430</v>
      </c>
      <c r="B98" s="437">
        <f>IF(B97&gt;0,(B96/B97),0)</f>
        <v>0</v>
      </c>
      <c r="C98" s="133"/>
      <c r="D98" s="133"/>
      <c r="E98" s="448"/>
    </row>
    <row r="99" spans="1:5">
      <c r="A99" s="436" t="s">
        <v>427</v>
      </c>
      <c r="B99" s="430"/>
      <c r="C99" s="133"/>
      <c r="D99" s="133"/>
      <c r="E99" s="448"/>
    </row>
    <row r="100" spans="1:5">
      <c r="A100" s="436" t="s">
        <v>431</v>
      </c>
      <c r="B100" s="437">
        <f>(B96/2)*B99</f>
        <v>0</v>
      </c>
      <c r="C100" s="133"/>
      <c r="D100" s="133"/>
      <c r="E100" s="448"/>
    </row>
    <row r="101" spans="1:5">
      <c r="A101" s="133"/>
      <c r="B101" s="133"/>
      <c r="C101" s="133"/>
      <c r="D101" s="133"/>
      <c r="E101" s="448"/>
    </row>
    <row r="102" spans="1:5">
      <c r="A102" s="146" t="s">
        <v>446</v>
      </c>
      <c r="B102" s="554"/>
      <c r="C102" s="554"/>
      <c r="D102" s="133"/>
      <c r="E102" s="448"/>
    </row>
    <row r="103" spans="1:5">
      <c r="A103" s="146"/>
      <c r="B103" s="133"/>
      <c r="C103" s="133"/>
      <c r="D103" s="133"/>
      <c r="E103" s="448"/>
    </row>
    <row r="104" spans="1:5">
      <c r="A104" s="432" t="s">
        <v>407</v>
      </c>
      <c r="B104" s="432" t="s">
        <v>3</v>
      </c>
      <c r="C104" s="432" t="s">
        <v>408</v>
      </c>
      <c r="D104" s="432" t="s">
        <v>409</v>
      </c>
      <c r="E104" s="434" t="s">
        <v>410</v>
      </c>
    </row>
    <row r="105" spans="1:5">
      <c r="A105" s="433" t="s">
        <v>411</v>
      </c>
      <c r="B105" s="434" t="s">
        <v>412</v>
      </c>
      <c r="C105" s="427"/>
      <c r="D105" s="435">
        <f t="shared" ref="D105:D118" si="4">+C105*$B$95</f>
        <v>0</v>
      </c>
      <c r="E105" s="427"/>
    </row>
    <row r="106" spans="1:5">
      <c r="A106" s="433" t="s">
        <v>413</v>
      </c>
      <c r="B106" s="434" t="s">
        <v>414</v>
      </c>
      <c r="C106" s="427"/>
      <c r="D106" s="435">
        <f t="shared" si="4"/>
        <v>0</v>
      </c>
      <c r="E106" s="427"/>
    </row>
    <row r="107" spans="1:5">
      <c r="A107" s="433" t="s">
        <v>415</v>
      </c>
      <c r="B107" s="434" t="s">
        <v>414</v>
      </c>
      <c r="C107" s="427"/>
      <c r="D107" s="435">
        <f t="shared" si="4"/>
        <v>0</v>
      </c>
      <c r="E107" s="427"/>
    </row>
    <row r="108" spans="1:5">
      <c r="A108" s="433" t="s">
        <v>416</v>
      </c>
      <c r="B108" s="434" t="s">
        <v>414</v>
      </c>
      <c r="C108" s="427"/>
      <c r="D108" s="435">
        <f t="shared" si="4"/>
        <v>0</v>
      </c>
      <c r="E108" s="427"/>
    </row>
    <row r="109" spans="1:5">
      <c r="A109" s="433" t="s">
        <v>417</v>
      </c>
      <c r="B109" s="434" t="s">
        <v>414</v>
      </c>
      <c r="C109" s="427"/>
      <c r="D109" s="435">
        <f t="shared" si="4"/>
        <v>0</v>
      </c>
      <c r="E109" s="427"/>
    </row>
    <row r="110" spans="1:5">
      <c r="A110" s="433" t="s">
        <v>418</v>
      </c>
      <c r="B110" s="434" t="s">
        <v>419</v>
      </c>
      <c r="C110" s="427"/>
      <c r="D110" s="435">
        <f t="shared" si="4"/>
        <v>0</v>
      </c>
      <c r="E110" s="427"/>
    </row>
    <row r="111" spans="1:5">
      <c r="A111" s="433" t="s">
        <v>420</v>
      </c>
      <c r="B111" s="434" t="s">
        <v>421</v>
      </c>
      <c r="C111" s="427"/>
      <c r="D111" s="435">
        <f t="shared" si="4"/>
        <v>0</v>
      </c>
      <c r="E111" s="427"/>
    </row>
    <row r="112" spans="1:5">
      <c r="A112" s="433" t="s">
        <v>422</v>
      </c>
      <c r="B112" s="434" t="s">
        <v>423</v>
      </c>
      <c r="C112" s="427"/>
      <c r="D112" s="435">
        <f t="shared" si="4"/>
        <v>0</v>
      </c>
      <c r="E112" s="427"/>
    </row>
    <row r="113" spans="1:5">
      <c r="A113" s="433" t="s">
        <v>424</v>
      </c>
      <c r="B113" s="434" t="s">
        <v>423</v>
      </c>
      <c r="C113" s="427"/>
      <c r="D113" s="435">
        <f t="shared" si="4"/>
        <v>0</v>
      </c>
      <c r="E113" s="427"/>
    </row>
    <row r="114" spans="1:5">
      <c r="A114" s="433" t="s">
        <v>425</v>
      </c>
      <c r="B114" s="434" t="s">
        <v>423</v>
      </c>
      <c r="C114" s="427"/>
      <c r="D114" s="435">
        <f t="shared" si="4"/>
        <v>0</v>
      </c>
      <c r="E114" s="427"/>
    </row>
    <row r="115" spans="1:5">
      <c r="A115" s="433" t="s">
        <v>426</v>
      </c>
      <c r="B115" s="434" t="s">
        <v>21</v>
      </c>
      <c r="C115" s="427"/>
      <c r="D115" s="435">
        <f t="shared" si="4"/>
        <v>0</v>
      </c>
      <c r="E115" s="435">
        <v>1</v>
      </c>
    </row>
    <row r="116" spans="1:5">
      <c r="A116" s="433" t="s">
        <v>55</v>
      </c>
      <c r="B116" s="434" t="s">
        <v>21</v>
      </c>
      <c r="C116" s="427"/>
      <c r="D116" s="435">
        <f t="shared" si="4"/>
        <v>0</v>
      </c>
      <c r="E116" s="435">
        <v>1</v>
      </c>
    </row>
    <row r="117" spans="1:5">
      <c r="A117" s="433" t="s">
        <v>55</v>
      </c>
      <c r="B117" s="434" t="s">
        <v>21</v>
      </c>
      <c r="C117" s="427"/>
      <c r="D117" s="435">
        <f t="shared" si="4"/>
        <v>0</v>
      </c>
      <c r="E117" s="435">
        <v>1</v>
      </c>
    </row>
    <row r="118" spans="1:5">
      <c r="A118" s="433" t="s">
        <v>55</v>
      </c>
      <c r="B118" s="434" t="s">
        <v>21</v>
      </c>
      <c r="C118" s="427"/>
      <c r="D118" s="435">
        <f t="shared" si="4"/>
        <v>0</v>
      </c>
      <c r="E118" s="435">
        <v>1</v>
      </c>
    </row>
    <row r="119" spans="1:5">
      <c r="A119" s="133"/>
      <c r="B119" s="133"/>
      <c r="C119" s="133"/>
      <c r="D119" s="133"/>
      <c r="E119" s="448"/>
    </row>
    <row r="120" spans="1:5">
      <c r="A120" s="436" t="s">
        <v>436</v>
      </c>
      <c r="B120" s="428"/>
      <c r="C120" s="133"/>
      <c r="D120" s="133"/>
      <c r="E120" s="448"/>
    </row>
    <row r="121" spans="1:5">
      <c r="A121" s="436" t="s">
        <v>437</v>
      </c>
      <c r="B121" s="437">
        <f>((D105*E105)+(D106*E106)+(D107*E107)+(D108*E108)+(D109*E109)+(D110*E110)+(D111*E111)+(D112*E112)+(D113*E113)+(D114*E114)+(D115*E115)+(D116*E116)+(D117*E117)+(D118*E118))</f>
        <v>0</v>
      </c>
      <c r="C121" s="133"/>
      <c r="D121" s="133"/>
      <c r="E121" s="448"/>
    </row>
    <row r="122" spans="1:5">
      <c r="A122" s="436" t="s">
        <v>429</v>
      </c>
      <c r="B122" s="429"/>
      <c r="C122" s="133"/>
      <c r="D122" s="133"/>
      <c r="E122" s="448"/>
    </row>
    <row r="123" spans="1:5">
      <c r="A123" s="436" t="s">
        <v>430</v>
      </c>
      <c r="B123" s="437">
        <f>IF(B122&gt;0,(B121/B122),0)</f>
        <v>0</v>
      </c>
      <c r="C123" s="133"/>
      <c r="D123" s="133"/>
      <c r="E123" s="448"/>
    </row>
    <row r="124" spans="1:5">
      <c r="A124" s="436" t="s">
        <v>427</v>
      </c>
      <c r="B124" s="430"/>
      <c r="C124" s="133"/>
      <c r="D124" s="133"/>
      <c r="E124" s="448"/>
    </row>
    <row r="125" spans="1:5">
      <c r="A125" s="436" t="s">
        <v>431</v>
      </c>
      <c r="B125" s="437">
        <f>(B121/2)*B124</f>
        <v>0</v>
      </c>
      <c r="C125" s="133"/>
      <c r="D125" s="133"/>
      <c r="E125" s="448"/>
    </row>
    <row r="126" spans="1:5">
      <c r="A126" s="133"/>
      <c r="B126" s="133"/>
      <c r="C126" s="133"/>
      <c r="D126" s="133"/>
      <c r="E126" s="448"/>
    </row>
    <row r="127" spans="1:5">
      <c r="A127" s="146" t="s">
        <v>447</v>
      </c>
      <c r="B127" s="554"/>
      <c r="C127" s="554"/>
      <c r="D127" s="133"/>
      <c r="E127" s="448"/>
    </row>
    <row r="128" spans="1:5">
      <c r="A128" s="146"/>
      <c r="B128" s="133"/>
      <c r="C128" s="133"/>
      <c r="D128" s="133"/>
      <c r="E128" s="448"/>
    </row>
    <row r="129" spans="1:5">
      <c r="A129" s="432" t="s">
        <v>407</v>
      </c>
      <c r="B129" s="432" t="s">
        <v>3</v>
      </c>
      <c r="C129" s="432" t="s">
        <v>408</v>
      </c>
      <c r="D129" s="432" t="s">
        <v>409</v>
      </c>
      <c r="E129" s="434" t="s">
        <v>410</v>
      </c>
    </row>
    <row r="130" spans="1:5">
      <c r="A130" s="433" t="s">
        <v>411</v>
      </c>
      <c r="B130" s="434" t="s">
        <v>412</v>
      </c>
      <c r="C130" s="427"/>
      <c r="D130" s="435">
        <f t="shared" ref="D130:D143" si="5">+C130*$B$95</f>
        <v>0</v>
      </c>
      <c r="E130" s="427"/>
    </row>
    <row r="131" spans="1:5">
      <c r="A131" s="433" t="s">
        <v>413</v>
      </c>
      <c r="B131" s="434" t="s">
        <v>414</v>
      </c>
      <c r="C131" s="427"/>
      <c r="D131" s="435">
        <f t="shared" si="5"/>
        <v>0</v>
      </c>
      <c r="E131" s="427"/>
    </row>
    <row r="132" spans="1:5">
      <c r="A132" s="433" t="s">
        <v>415</v>
      </c>
      <c r="B132" s="434" t="s">
        <v>414</v>
      </c>
      <c r="C132" s="427"/>
      <c r="D132" s="435">
        <f t="shared" si="5"/>
        <v>0</v>
      </c>
      <c r="E132" s="427"/>
    </row>
    <row r="133" spans="1:5">
      <c r="A133" s="433" t="s">
        <v>416</v>
      </c>
      <c r="B133" s="434" t="s">
        <v>414</v>
      </c>
      <c r="C133" s="427"/>
      <c r="D133" s="435">
        <f t="shared" si="5"/>
        <v>0</v>
      </c>
      <c r="E133" s="427"/>
    </row>
    <row r="134" spans="1:5">
      <c r="A134" s="433" t="s">
        <v>417</v>
      </c>
      <c r="B134" s="434" t="s">
        <v>414</v>
      </c>
      <c r="C134" s="427"/>
      <c r="D134" s="435">
        <f t="shared" si="5"/>
        <v>0</v>
      </c>
      <c r="E134" s="427"/>
    </row>
    <row r="135" spans="1:5">
      <c r="A135" s="433" t="s">
        <v>418</v>
      </c>
      <c r="B135" s="434" t="s">
        <v>419</v>
      </c>
      <c r="C135" s="427"/>
      <c r="D135" s="435">
        <f t="shared" si="5"/>
        <v>0</v>
      </c>
      <c r="E135" s="427"/>
    </row>
    <row r="136" spans="1:5">
      <c r="A136" s="433" t="s">
        <v>420</v>
      </c>
      <c r="B136" s="434" t="s">
        <v>421</v>
      </c>
      <c r="C136" s="427"/>
      <c r="D136" s="435">
        <f t="shared" si="5"/>
        <v>0</v>
      </c>
      <c r="E136" s="427"/>
    </row>
    <row r="137" spans="1:5">
      <c r="A137" s="433" t="s">
        <v>422</v>
      </c>
      <c r="B137" s="434" t="s">
        <v>423</v>
      </c>
      <c r="C137" s="427"/>
      <c r="D137" s="435">
        <f t="shared" si="5"/>
        <v>0</v>
      </c>
      <c r="E137" s="427"/>
    </row>
    <row r="138" spans="1:5">
      <c r="A138" s="433" t="s">
        <v>424</v>
      </c>
      <c r="B138" s="434" t="s">
        <v>423</v>
      </c>
      <c r="C138" s="427"/>
      <c r="D138" s="435">
        <f t="shared" si="5"/>
        <v>0</v>
      </c>
      <c r="E138" s="427"/>
    </row>
    <row r="139" spans="1:5">
      <c r="A139" s="433" t="s">
        <v>425</v>
      </c>
      <c r="B139" s="434" t="s">
        <v>423</v>
      </c>
      <c r="C139" s="427"/>
      <c r="D139" s="435">
        <f t="shared" si="5"/>
        <v>0</v>
      </c>
      <c r="E139" s="427"/>
    </row>
    <row r="140" spans="1:5">
      <c r="A140" s="433" t="s">
        <v>426</v>
      </c>
      <c r="B140" s="434" t="s">
        <v>21</v>
      </c>
      <c r="C140" s="427"/>
      <c r="D140" s="435">
        <f t="shared" si="5"/>
        <v>0</v>
      </c>
      <c r="E140" s="435">
        <v>1</v>
      </c>
    </row>
    <row r="141" spans="1:5">
      <c r="A141" s="433" t="s">
        <v>55</v>
      </c>
      <c r="B141" s="434" t="s">
        <v>21</v>
      </c>
      <c r="C141" s="427"/>
      <c r="D141" s="435">
        <f t="shared" si="5"/>
        <v>0</v>
      </c>
      <c r="E141" s="435">
        <v>1</v>
      </c>
    </row>
    <row r="142" spans="1:5">
      <c r="A142" s="433" t="s">
        <v>55</v>
      </c>
      <c r="B142" s="434" t="s">
        <v>21</v>
      </c>
      <c r="C142" s="427"/>
      <c r="D142" s="435">
        <f t="shared" si="5"/>
        <v>0</v>
      </c>
      <c r="E142" s="435">
        <v>1</v>
      </c>
    </row>
    <row r="143" spans="1:5">
      <c r="A143" s="433" t="s">
        <v>55</v>
      </c>
      <c r="B143" s="434" t="s">
        <v>21</v>
      </c>
      <c r="C143" s="427"/>
      <c r="D143" s="435">
        <f t="shared" si="5"/>
        <v>0</v>
      </c>
      <c r="E143" s="435">
        <v>1</v>
      </c>
    </row>
    <row r="144" spans="1:5">
      <c r="A144" s="133"/>
      <c r="B144" s="133"/>
      <c r="C144" s="133"/>
      <c r="D144" s="133"/>
      <c r="E144" s="448"/>
    </row>
    <row r="145" spans="1:5">
      <c r="A145" s="436" t="s">
        <v>438</v>
      </c>
      <c r="B145" s="428"/>
      <c r="C145" s="133"/>
      <c r="D145" s="133"/>
      <c r="E145" s="448"/>
    </row>
    <row r="146" spans="1:5">
      <c r="A146" s="436" t="s">
        <v>439</v>
      </c>
      <c r="B146" s="437">
        <f>((D130*E130)+(D131*E131)+(D132*E132)+(D133*E133)+(D134*E134)+(D135*E135)+(D136*E136)+(D137*E137)+(D138*E138)+(D139*E139)+(D140*E140)+(D141*E141)+(D142*E142)+(D143*E143))</f>
        <v>0</v>
      </c>
      <c r="C146" s="133"/>
      <c r="D146" s="133"/>
      <c r="E146" s="448"/>
    </row>
    <row r="147" spans="1:5">
      <c r="A147" s="436" t="s">
        <v>429</v>
      </c>
      <c r="B147" s="429"/>
      <c r="C147" s="133"/>
      <c r="D147" s="133"/>
      <c r="E147" s="448"/>
    </row>
    <row r="148" spans="1:5">
      <c r="A148" s="436" t="s">
        <v>430</v>
      </c>
      <c r="B148" s="437">
        <f>IF(B147&gt;0,(B146/B147),0)</f>
        <v>0</v>
      </c>
      <c r="C148" s="133"/>
      <c r="D148" s="133"/>
      <c r="E148" s="448"/>
    </row>
    <row r="149" spans="1:5">
      <c r="A149" s="436" t="s">
        <v>427</v>
      </c>
      <c r="B149" s="430"/>
      <c r="C149" s="133"/>
      <c r="D149" s="133"/>
      <c r="E149" s="448"/>
    </row>
    <row r="150" spans="1:5">
      <c r="A150" s="436" t="s">
        <v>431</v>
      </c>
      <c r="B150" s="437">
        <f>(B146/2)*B149</f>
        <v>0</v>
      </c>
      <c r="C150" s="133"/>
      <c r="D150" s="133"/>
      <c r="E150" s="448"/>
    </row>
  </sheetData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6"/>
  <dimension ref="A1:O17"/>
  <sheetViews>
    <sheetView workbookViewId="0">
      <selection activeCell="E27" sqref="E27"/>
    </sheetView>
  </sheetViews>
  <sheetFormatPr defaultRowHeight="1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>
      <c r="A1" s="556" t="s">
        <v>110</v>
      </c>
      <c r="B1" s="556"/>
      <c r="C1" s="556"/>
      <c r="D1" s="556"/>
      <c r="E1" s="555" t="s">
        <v>51</v>
      </c>
      <c r="F1" s="555"/>
      <c r="G1" s="555"/>
      <c r="H1" s="555"/>
      <c r="I1" s="555"/>
      <c r="J1" s="555"/>
      <c r="K1" s="555"/>
      <c r="L1" s="555"/>
    </row>
    <row r="2" spans="1:15" ht="23.25" customHeight="1">
      <c r="A2" s="556"/>
      <c r="B2" s="556"/>
      <c r="C2" s="556"/>
      <c r="D2" s="556"/>
      <c r="E2" s="439" t="s">
        <v>30</v>
      </c>
      <c r="F2" s="440">
        <v>3</v>
      </c>
      <c r="G2" s="440">
        <v>2.9</v>
      </c>
      <c r="H2" s="441" t="s">
        <v>31</v>
      </c>
      <c r="I2" s="442"/>
      <c r="J2" s="442">
        <v>8.4</v>
      </c>
      <c r="K2" s="439">
        <v>0</v>
      </c>
      <c r="L2" s="439">
        <v>0</v>
      </c>
    </row>
    <row r="3" spans="1:15" ht="23.25" customHeight="1">
      <c r="A3" s="32"/>
      <c r="B3" s="32"/>
      <c r="E3" s="439" t="s">
        <v>32</v>
      </c>
      <c r="F3" s="440">
        <v>4.9000000000000004</v>
      </c>
      <c r="G3" s="440">
        <v>4</v>
      </c>
      <c r="H3" s="441" t="s">
        <v>31</v>
      </c>
      <c r="I3" s="442" t="s">
        <v>31</v>
      </c>
      <c r="J3" s="439" t="s">
        <v>31</v>
      </c>
      <c r="K3" s="443">
        <v>750000</v>
      </c>
      <c r="L3" s="443">
        <v>750000</v>
      </c>
    </row>
    <row r="5" spans="1:15">
      <c r="A5" s="444" t="s">
        <v>40</v>
      </c>
      <c r="B5" s="445" t="s">
        <v>48</v>
      </c>
      <c r="C5" s="445" t="s">
        <v>52</v>
      </c>
      <c r="D5" s="445" t="s">
        <v>49</v>
      </c>
      <c r="E5" s="445" t="s">
        <v>50</v>
      </c>
      <c r="F5" s="446" t="s">
        <v>33</v>
      </c>
      <c r="G5" s="446" t="s">
        <v>34</v>
      </c>
      <c r="H5" s="446" t="s">
        <v>35</v>
      </c>
      <c r="I5" s="446" t="s">
        <v>36</v>
      </c>
      <c r="J5" s="446" t="s">
        <v>37</v>
      </c>
      <c r="K5" s="446" t="s">
        <v>38</v>
      </c>
      <c r="L5" s="447" t="s">
        <v>39</v>
      </c>
    </row>
    <row r="6" spans="1:15">
      <c r="A6" s="36" t="s">
        <v>6</v>
      </c>
      <c r="B6" s="320"/>
      <c r="C6" s="320"/>
      <c r="D6" s="320"/>
      <c r="E6" s="320"/>
      <c r="F6" s="320"/>
      <c r="G6" s="320"/>
      <c r="H6" s="320"/>
      <c r="I6" s="320"/>
      <c r="J6" s="320"/>
      <c r="K6" s="320"/>
      <c r="L6" s="338"/>
      <c r="M6" s="4"/>
    </row>
    <row r="7" spans="1:15">
      <c r="A7" s="36" t="s">
        <v>7</v>
      </c>
      <c r="B7" s="320"/>
      <c r="C7" s="320"/>
      <c r="D7" s="320"/>
      <c r="E7" s="320"/>
      <c r="F7" s="320"/>
      <c r="G7" s="320"/>
      <c r="H7" s="320"/>
      <c r="I7" s="320"/>
      <c r="J7" s="320"/>
      <c r="K7" s="320"/>
      <c r="L7" s="338"/>
      <c r="M7" s="33"/>
      <c r="O7" s="34"/>
    </row>
    <row r="8" spans="1:15">
      <c r="A8" s="36" t="s">
        <v>8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38"/>
    </row>
    <row r="9" spans="1:15">
      <c r="A9" s="36" t="s">
        <v>41</v>
      </c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38"/>
    </row>
    <row r="10" spans="1:15">
      <c r="A10" s="36" t="s">
        <v>42</v>
      </c>
      <c r="B10" s="320"/>
      <c r="C10" s="320"/>
      <c r="D10" s="320"/>
      <c r="E10" s="320"/>
      <c r="F10" s="320"/>
      <c r="G10" s="320"/>
      <c r="H10" s="320"/>
      <c r="I10" s="320"/>
      <c r="J10" s="320"/>
      <c r="K10" s="320"/>
      <c r="L10" s="338"/>
    </row>
    <row r="11" spans="1:15">
      <c r="A11" s="36" t="s">
        <v>43</v>
      </c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38"/>
    </row>
    <row r="12" spans="1:15">
      <c r="A12" s="36" t="s">
        <v>44</v>
      </c>
      <c r="B12" s="320"/>
      <c r="C12" s="320"/>
      <c r="D12" s="320"/>
      <c r="E12" s="320"/>
      <c r="F12" s="320"/>
      <c r="G12" s="320"/>
      <c r="H12" s="320"/>
      <c r="I12" s="320"/>
      <c r="J12" s="320"/>
      <c r="K12" s="320"/>
      <c r="L12" s="338"/>
    </row>
    <row r="13" spans="1:15">
      <c r="A13" s="36" t="s">
        <v>45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38"/>
    </row>
    <row r="14" spans="1:15">
      <c r="A14" s="36" t="s">
        <v>46</v>
      </c>
      <c r="B14" s="320"/>
      <c r="C14" s="320"/>
      <c r="D14" s="320"/>
      <c r="E14" s="320"/>
      <c r="F14" s="320"/>
      <c r="G14" s="320"/>
      <c r="H14" s="320"/>
      <c r="I14" s="320"/>
      <c r="J14" s="320"/>
      <c r="K14" s="320"/>
      <c r="L14" s="338"/>
    </row>
    <row r="15" spans="1:15" ht="15.75" thickBot="1">
      <c r="A15" s="37" t="s">
        <v>47</v>
      </c>
      <c r="B15" s="321"/>
      <c r="C15" s="321"/>
      <c r="D15" s="321"/>
      <c r="E15" s="321"/>
      <c r="F15" s="321"/>
      <c r="G15" s="321"/>
      <c r="H15" s="321"/>
      <c r="I15" s="321"/>
      <c r="J15" s="321"/>
      <c r="K15" s="321"/>
      <c r="L15" s="339"/>
    </row>
    <row r="17" spans="2:9">
      <c r="B17" s="3"/>
      <c r="C17" s="3"/>
      <c r="D17" s="3"/>
      <c r="E17" s="3"/>
      <c r="F17" s="3"/>
      <c r="G17" s="3"/>
      <c r="H17" s="3"/>
      <c r="I17" s="3"/>
    </row>
  </sheetData>
  <mergeCells count="2">
    <mergeCell ref="E1:L1"/>
    <mergeCell ref="A1:D2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7"/>
  <dimension ref="K11:W11"/>
  <sheetViews>
    <sheetView workbookViewId="0">
      <selection activeCell="A3" sqref="A3"/>
    </sheetView>
  </sheetViews>
  <sheetFormatPr defaultRowHeight="15"/>
  <cols>
    <col min="10" max="10" width="19.5703125" bestFit="1" customWidth="1"/>
  </cols>
  <sheetData>
    <row r="11" spans="11:23">
      <c r="K11" s="420"/>
      <c r="L11" s="420"/>
      <c r="M11" s="420"/>
      <c r="N11" s="420"/>
      <c r="O11" s="420"/>
      <c r="P11" s="420"/>
      <c r="Q11" s="420"/>
      <c r="R11" s="420"/>
      <c r="S11" s="420"/>
      <c r="T11" s="420"/>
      <c r="U11" s="420"/>
      <c r="V11" s="420"/>
      <c r="W11" s="420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8"/>
  <dimension ref="A1:W34"/>
  <sheetViews>
    <sheetView topLeftCell="A2" workbookViewId="0">
      <selection activeCell="I5" sqref="I5:P5"/>
    </sheetView>
  </sheetViews>
  <sheetFormatPr defaultRowHeight="15"/>
  <cols>
    <col min="1" max="1" width="55.28515625" customWidth="1"/>
    <col min="2" max="2" width="15" customWidth="1"/>
    <col min="3" max="8" width="11.5703125" style="471" customWidth="1"/>
    <col min="9" max="9" width="55.28515625" style="471" customWidth="1"/>
    <col min="10" max="10" width="15" style="471" customWidth="1"/>
    <col min="11" max="16" width="11.5703125" style="471" customWidth="1"/>
  </cols>
  <sheetData>
    <row r="1" spans="1:23" hidden="1"/>
    <row r="2" spans="1:23" ht="18.75">
      <c r="A2" s="557" t="s">
        <v>460</v>
      </c>
      <c r="B2" s="558"/>
      <c r="C2" s="558"/>
      <c r="D2" s="558"/>
      <c r="E2" s="558"/>
      <c r="F2" s="558"/>
      <c r="G2" s="558"/>
      <c r="H2" s="559"/>
      <c r="I2" s="557" t="s">
        <v>460</v>
      </c>
      <c r="J2" s="558"/>
      <c r="K2" s="558"/>
      <c r="L2" s="558"/>
      <c r="M2" s="558"/>
      <c r="N2" s="558"/>
      <c r="O2" s="558"/>
      <c r="P2" s="559"/>
    </row>
    <row r="3" spans="1:23">
      <c r="A3" s="560" t="s">
        <v>461</v>
      </c>
      <c r="B3" s="561"/>
      <c r="C3" s="561"/>
      <c r="D3" s="561"/>
      <c r="E3" s="561"/>
      <c r="F3" s="561"/>
      <c r="G3" s="561"/>
      <c r="H3" s="562"/>
      <c r="I3" s="560" t="s">
        <v>461</v>
      </c>
      <c r="J3" s="561"/>
      <c r="K3" s="561"/>
      <c r="L3" s="561"/>
      <c r="M3" s="561"/>
      <c r="N3" s="561"/>
      <c r="O3" s="561"/>
      <c r="P3" s="562"/>
    </row>
    <row r="4" spans="1:23">
      <c r="A4" s="560" t="s">
        <v>466</v>
      </c>
      <c r="B4" s="561"/>
      <c r="C4" s="561"/>
      <c r="D4" s="561"/>
      <c r="E4" s="561"/>
      <c r="F4" s="561"/>
      <c r="G4" s="561"/>
      <c r="H4" s="562"/>
      <c r="I4" s="560" t="s">
        <v>462</v>
      </c>
      <c r="J4" s="561"/>
      <c r="K4" s="561"/>
      <c r="L4" s="561"/>
      <c r="M4" s="561"/>
      <c r="N4" s="561"/>
      <c r="O4" s="561"/>
      <c r="P4" s="562"/>
    </row>
    <row r="5" spans="1:23">
      <c r="A5" s="560" t="s">
        <v>463</v>
      </c>
      <c r="B5" s="561"/>
      <c r="C5" s="561"/>
      <c r="D5" s="561"/>
      <c r="E5" s="561"/>
      <c r="F5" s="561"/>
      <c r="G5" s="561"/>
      <c r="H5" s="562"/>
      <c r="I5" s="560" t="s">
        <v>463</v>
      </c>
      <c r="J5" s="561"/>
      <c r="K5" s="561"/>
      <c r="L5" s="561"/>
      <c r="M5" s="561"/>
      <c r="N5" s="561"/>
      <c r="O5" s="561"/>
      <c r="P5" s="562"/>
    </row>
    <row r="6" spans="1:23">
      <c r="A6" s="560" t="s">
        <v>464</v>
      </c>
      <c r="B6" s="561"/>
      <c r="C6" s="561"/>
      <c r="D6" s="561"/>
      <c r="E6" s="561"/>
      <c r="F6" s="561"/>
      <c r="G6" s="561"/>
      <c r="H6" s="562"/>
      <c r="I6" s="560" t="s">
        <v>464</v>
      </c>
      <c r="J6" s="561"/>
      <c r="K6" s="561"/>
      <c r="L6" s="561"/>
      <c r="M6" s="561"/>
      <c r="N6" s="561"/>
      <c r="O6" s="561"/>
      <c r="P6" s="562"/>
    </row>
    <row r="7" spans="1:23">
      <c r="A7" s="563" t="s">
        <v>465</v>
      </c>
      <c r="B7" s="564"/>
      <c r="C7" s="564"/>
      <c r="D7" s="564"/>
      <c r="E7" s="564"/>
      <c r="F7" s="564"/>
      <c r="G7" s="564"/>
      <c r="H7" s="565"/>
      <c r="I7" s="563" t="s">
        <v>465</v>
      </c>
      <c r="J7" s="564"/>
      <c r="K7" s="564"/>
      <c r="L7" s="564"/>
      <c r="M7" s="564"/>
      <c r="N7" s="564"/>
      <c r="O7" s="564"/>
      <c r="P7" s="565"/>
    </row>
    <row r="8" spans="1:23">
      <c r="A8" s="471"/>
      <c r="B8" s="471"/>
    </row>
    <row r="9" spans="1:23" s="487" customFormat="1">
      <c r="A9" s="567" t="s">
        <v>457</v>
      </c>
      <c r="B9" s="567"/>
      <c r="C9" s="567"/>
      <c r="D9" s="567"/>
      <c r="E9" s="567"/>
      <c r="F9" s="567"/>
      <c r="G9" s="567"/>
      <c r="H9" s="567"/>
      <c r="I9" s="567" t="s">
        <v>457</v>
      </c>
      <c r="J9" s="567"/>
      <c r="K9" s="567"/>
      <c r="L9" s="567"/>
      <c r="M9" s="567"/>
      <c r="N9" s="567"/>
      <c r="O9" s="567"/>
      <c r="P9" s="567"/>
      <c r="Q9" s="490"/>
      <c r="R9" s="490"/>
      <c r="S9" s="490"/>
      <c r="T9" s="490"/>
      <c r="U9" s="490"/>
      <c r="V9" s="490"/>
      <c r="W9" s="490"/>
    </row>
    <row r="10" spans="1:23" s="484" customFormat="1">
      <c r="A10" s="485" t="s">
        <v>2</v>
      </c>
      <c r="B10" s="485" t="s">
        <v>449</v>
      </c>
      <c r="C10" s="486" t="s">
        <v>4</v>
      </c>
      <c r="D10" s="486" t="s">
        <v>5</v>
      </c>
      <c r="E10" s="486" t="s">
        <v>6</v>
      </c>
      <c r="F10" s="486" t="s">
        <v>7</v>
      </c>
      <c r="G10" s="486" t="s">
        <v>8</v>
      </c>
      <c r="H10" s="486" t="s">
        <v>41</v>
      </c>
      <c r="I10" s="485" t="s">
        <v>2</v>
      </c>
      <c r="J10" s="485" t="s">
        <v>449</v>
      </c>
      <c r="K10" s="486" t="s">
        <v>42</v>
      </c>
      <c r="L10" s="486" t="s">
        <v>53</v>
      </c>
      <c r="M10" s="486" t="s">
        <v>44</v>
      </c>
      <c r="N10" s="486" t="s">
        <v>45</v>
      </c>
      <c r="O10" s="486" t="s">
        <v>46</v>
      </c>
      <c r="P10" s="486" t="s">
        <v>47</v>
      </c>
      <c r="Q10" s="490"/>
      <c r="R10" s="490"/>
      <c r="S10" s="490"/>
      <c r="T10" s="490"/>
      <c r="U10" s="490"/>
      <c r="V10" s="490"/>
      <c r="W10" s="490"/>
    </row>
    <row r="11" spans="1:23">
      <c r="A11" s="481" t="s">
        <v>448</v>
      </c>
      <c r="B11" s="411"/>
      <c r="C11" s="472">
        <f>'INDICADORES ECONÔMICOS MENSAIS'!D7</f>
        <v>1411.038</v>
      </c>
      <c r="D11" s="472">
        <f>'INDICADORES ECONÔMICOS MENSAIS'!E7</f>
        <v>1254.5999999999999</v>
      </c>
      <c r="E11" s="472">
        <f>'INDICADORES ECONÔMICOS MENSAIS'!F7</f>
        <v>1390.5</v>
      </c>
      <c r="F11" s="472">
        <f>'INDICADORES ECONÔMICOS MENSAIS'!G7</f>
        <v>1262.8800000000001</v>
      </c>
      <c r="G11" s="472">
        <f>'INDICADORES ECONÔMICOS MENSAIS'!H7</f>
        <v>862.11</v>
      </c>
      <c r="H11" s="472">
        <f>'INDICADORES ECONÔMICOS MENSAIS'!I7</f>
        <v>1183.9596999999999</v>
      </c>
      <c r="I11" s="481" t="s">
        <v>448</v>
      </c>
      <c r="J11" s="472"/>
      <c r="K11" s="472">
        <f>'INDICADORES ECONÔMICOS MENSAIS'!J7</f>
        <v>1762.25</v>
      </c>
      <c r="L11" s="472">
        <f>'INDICADORES ECONÔMICOS MENSAIS'!K7</f>
        <v>0</v>
      </c>
      <c r="M11" s="472">
        <f>'INDICADORES ECONÔMICOS MENSAIS'!L7</f>
        <v>0</v>
      </c>
      <c r="N11" s="472">
        <f>'INDICADORES ECONÔMICOS MENSAIS'!M7</f>
        <v>0</v>
      </c>
      <c r="O11" s="472">
        <f>'INDICADORES ECONÔMICOS MENSAIS'!N7</f>
        <v>0</v>
      </c>
      <c r="P11" s="472">
        <f>'INDICADORES ECONÔMICOS MENSAIS'!O7</f>
        <v>0</v>
      </c>
    </row>
    <row r="12" spans="1:23">
      <c r="A12" s="481" t="s">
        <v>311</v>
      </c>
      <c r="B12" s="411"/>
      <c r="C12" s="472">
        <f>'INDICADORES ECONÔMICOS MENSAIS'!D12</f>
        <v>847.048</v>
      </c>
      <c r="D12" s="472">
        <f>'INDICADORES ECONÔMICOS MENSAIS'!E12</f>
        <v>838.28800000000001</v>
      </c>
      <c r="E12" s="472">
        <f>'INDICADORES ECONÔMICOS MENSAIS'!F12</f>
        <v>720.70400000000018</v>
      </c>
      <c r="F12" s="472">
        <f>'INDICADORES ECONÔMICOS MENSAIS'!G12</f>
        <v>518.82399999999996</v>
      </c>
      <c r="G12" s="472">
        <f>'INDICADORES ECONÔMICOS MENSAIS'!H12</f>
        <v>652.78400000000011</v>
      </c>
      <c r="H12" s="472">
        <f>'INDICADORES ECONÔMICOS MENSAIS'!I12</f>
        <v>1313.152</v>
      </c>
      <c r="I12" s="481" t="s">
        <v>311</v>
      </c>
      <c r="J12" s="472"/>
      <c r="K12" s="472">
        <f>'INDICADORES ECONÔMICOS MENSAIS'!J12</f>
        <v>1442.4</v>
      </c>
      <c r="L12" s="472">
        <f>'INDICADORES ECONÔMICOS MENSAIS'!K12</f>
        <v>0</v>
      </c>
      <c r="M12" s="472">
        <f>'INDICADORES ECONÔMICOS MENSAIS'!L12</f>
        <v>0</v>
      </c>
      <c r="N12" s="472">
        <f>'INDICADORES ECONÔMICOS MENSAIS'!M12</f>
        <v>0</v>
      </c>
      <c r="O12" s="472">
        <f>'INDICADORES ECONÔMICOS MENSAIS'!N12</f>
        <v>0</v>
      </c>
      <c r="P12" s="472">
        <f>'INDICADORES ECONÔMICOS MENSAIS'!O12</f>
        <v>0</v>
      </c>
    </row>
    <row r="13" spans="1:23">
      <c r="A13" s="482" t="s">
        <v>312</v>
      </c>
      <c r="B13" s="411"/>
      <c r="C13" s="472">
        <f>'INDICADORES ECONÔMICOS MENSAIS'!D13</f>
        <v>1590.9368888888889</v>
      </c>
      <c r="D13" s="472">
        <f>'INDICADORES ECONÔMICOS MENSAIS'!E13</f>
        <v>1582.1768888888892</v>
      </c>
      <c r="E13" s="472">
        <f>'INDICADORES ECONÔMICOS MENSAIS'!F13</f>
        <v>1464.5928888888893</v>
      </c>
      <c r="F13" s="472">
        <f>'INDICADORES ECONÔMICOS MENSAIS'!G13</f>
        <v>1262.712888888889</v>
      </c>
      <c r="G13" s="472">
        <f>'INDICADORES ECONÔMICOS MENSAIS'!H13</f>
        <v>1396.6728888888892</v>
      </c>
      <c r="H13" s="472">
        <f>'INDICADORES ECONÔMICOS MENSAIS'!I13</f>
        <v>2057.0408888888892</v>
      </c>
      <c r="I13" s="482" t="s">
        <v>312</v>
      </c>
      <c r="J13" s="472"/>
      <c r="K13" s="472">
        <f>'INDICADORES ECONÔMICOS MENSAIS'!J13</f>
        <v>2186.2888888888892</v>
      </c>
      <c r="L13" s="472">
        <f>'INDICADORES ECONÔMICOS MENSAIS'!K13</f>
        <v>743.88888888888903</v>
      </c>
      <c r="M13" s="472">
        <f>'INDICADORES ECONÔMICOS MENSAIS'!L13</f>
        <v>743.88888888888903</v>
      </c>
      <c r="N13" s="472">
        <f>'INDICADORES ECONÔMICOS MENSAIS'!M13</f>
        <v>743.88888888888903</v>
      </c>
      <c r="O13" s="472">
        <f>'INDICADORES ECONÔMICOS MENSAIS'!N13</f>
        <v>743.88888888888903</v>
      </c>
      <c r="P13" s="472">
        <f>'INDICADORES ECONÔMICOS MENSAIS'!O13</f>
        <v>743.88888888888903</v>
      </c>
    </row>
    <row r="14" spans="1:23">
      <c r="A14" s="482" t="s">
        <v>310</v>
      </c>
      <c r="B14" s="411"/>
      <c r="C14" s="470">
        <f>'INDICADORES ECONÔMICOS MENSAIS'!D15</f>
        <v>0.50965583634175693</v>
      </c>
      <c r="D14" s="470">
        <f>'INDICADORES ECONÔMICOS MENSAIS'!E15</f>
        <v>0.56794579945799462</v>
      </c>
      <c r="E14" s="470">
        <f>'INDICADORES ECONÔMICOS MENSAIS'!F15</f>
        <v>0.46647508090614898</v>
      </c>
      <c r="F14" s="470">
        <f>'INDICADORES ECONÔMICOS MENSAIS'!G15</f>
        <v>0.36029444444444442</v>
      </c>
      <c r="G14" s="470">
        <f>'INDICADORES ECONÔMICOS MENSAIS'!H15</f>
        <v>0.68147405783484716</v>
      </c>
      <c r="H14" s="470">
        <f>'INDICADORES ECONÔMICOS MENSAIS'!I15</f>
        <v>1.0480063846767758</v>
      </c>
      <c r="I14" s="482" t="s">
        <v>310</v>
      </c>
      <c r="J14" s="478"/>
      <c r="K14" s="470">
        <f>'INDICADORES ECONÔMICOS MENSAIS'!J15</f>
        <v>0.77757412398921832</v>
      </c>
      <c r="L14" s="470" t="e">
        <f>'INDICADORES ECONÔMICOS MENSAIS'!K15</f>
        <v>#DIV/0!</v>
      </c>
      <c r="M14" s="470" t="e">
        <f>'INDICADORES ECONÔMICOS MENSAIS'!L15</f>
        <v>#DIV/0!</v>
      </c>
      <c r="N14" s="470" t="e">
        <f>'INDICADORES ECONÔMICOS MENSAIS'!M15</f>
        <v>#DIV/0!</v>
      </c>
      <c r="O14" s="470" t="e">
        <f>'INDICADORES ECONÔMICOS MENSAIS'!N15</f>
        <v>#DIV/0!</v>
      </c>
      <c r="P14" s="470" t="e">
        <f>'INDICADORES ECONÔMICOS MENSAIS'!O15</f>
        <v>#DIV/0!</v>
      </c>
    </row>
    <row r="15" spans="1:23">
      <c r="A15" s="482" t="s">
        <v>320</v>
      </c>
      <c r="B15" s="411"/>
      <c r="C15" s="470">
        <f>'INDICADORES ECONÔMICOS MENSAIS'!D16</f>
        <v>0.95724241208717742</v>
      </c>
      <c r="D15" s="470">
        <f>'INDICADORES ECONÔMICOS MENSAIS'!E16</f>
        <v>1.0719355615778381</v>
      </c>
      <c r="E15" s="470">
        <f>'INDICADORES ECONÔMICOS MENSAIS'!F16</f>
        <v>0.9479565623876306</v>
      </c>
      <c r="F15" s="470">
        <f>'INDICADORES ECONÔMICOS MENSAIS'!G16</f>
        <v>0.87688395061728397</v>
      </c>
      <c r="G15" s="470">
        <f>'INDICADORES ECONÔMICOS MENSAIS'!H16</f>
        <v>1.4580570924823983</v>
      </c>
      <c r="H15" s="470">
        <f>'INDICADORES ECONÔMICOS MENSAIS'!I16</f>
        <v>1.6416926487541015</v>
      </c>
      <c r="I15" s="482" t="s">
        <v>320</v>
      </c>
      <c r="J15" s="478"/>
      <c r="K15" s="470">
        <f>'INDICADORES ECONÔMICOS MENSAIS'!J16</f>
        <v>1.1785923929320157</v>
      </c>
      <c r="L15" s="470" t="e">
        <f>'INDICADORES ECONÔMICOS MENSAIS'!K16</f>
        <v>#DIV/0!</v>
      </c>
      <c r="M15" s="470" t="e">
        <f>'INDICADORES ECONÔMICOS MENSAIS'!L16</f>
        <v>#DIV/0!</v>
      </c>
      <c r="N15" s="470" t="e">
        <f>'INDICADORES ECONÔMICOS MENSAIS'!M16</f>
        <v>#DIV/0!</v>
      </c>
      <c r="O15" s="470" t="e">
        <f>'INDICADORES ECONÔMICOS MENSAIS'!N16</f>
        <v>#DIV/0!</v>
      </c>
      <c r="P15" s="470" t="e">
        <f>'INDICADORES ECONÔMICOS MENSAIS'!O16</f>
        <v>#DIV/0!</v>
      </c>
    </row>
    <row r="16" spans="1:23">
      <c r="A16" s="481" t="s">
        <v>450</v>
      </c>
      <c r="B16" s="411"/>
      <c r="C16" s="473">
        <f>'INDICADORES ECONÔMICOS MENSAIS'!D21</f>
        <v>8.5043776283842104E-2</v>
      </c>
      <c r="D16" s="473">
        <f>'INDICADORES ECONÔMICOS MENSAIS'!E21</f>
        <v>7.6518412242945963E-2</v>
      </c>
      <c r="E16" s="473">
        <f>'INDICADORES ECONÔMICOS MENSAIS'!F21</f>
        <v>6.9039913700107869E-2</v>
      </c>
      <c r="F16" s="473">
        <f>'INDICADORES ECONÔMICOS MENSAIS'!G21</f>
        <v>0</v>
      </c>
      <c r="G16" s="473">
        <f>'INDICADORES ECONÔMICOS MENSAIS'!H21</f>
        <v>0</v>
      </c>
      <c r="H16" s="473">
        <f>'INDICADORES ECONÔMICOS MENSAIS'!I21</f>
        <v>8.108384094492406E-2</v>
      </c>
      <c r="I16" s="481" t="s">
        <v>450</v>
      </c>
      <c r="J16" s="473"/>
      <c r="K16" s="473">
        <f>'INDICADORES ECONÔMICOS MENSAIS'!J21</f>
        <v>0.11349127535820684</v>
      </c>
      <c r="L16" s="473" t="e">
        <f>'INDICADORES ECONÔMICOS MENSAIS'!K21</f>
        <v>#DIV/0!</v>
      </c>
      <c r="M16" s="473" t="e">
        <f>'INDICADORES ECONÔMICOS MENSAIS'!L21</f>
        <v>#DIV/0!</v>
      </c>
      <c r="N16" s="473" t="e">
        <f>'INDICADORES ECONÔMICOS MENSAIS'!M21</f>
        <v>#DIV/0!</v>
      </c>
      <c r="O16" s="473" t="e">
        <f>'INDICADORES ECONÔMICOS MENSAIS'!N21</f>
        <v>#DIV/0!</v>
      </c>
      <c r="P16" s="473" t="e">
        <f>'INDICADORES ECONÔMICOS MENSAIS'!O21</f>
        <v>#DIV/0!</v>
      </c>
    </row>
    <row r="17" spans="1:19">
      <c r="A17" s="481" t="s">
        <v>451</v>
      </c>
      <c r="B17" s="411"/>
      <c r="C17" s="474">
        <f>'INDICADORES ECONÔMICOS MENSAIS'!D23</f>
        <v>0.46774076956113159</v>
      </c>
      <c r="D17" s="474">
        <f>'INDICADORES ECONÔMICOS MENSAIS'!E23</f>
        <v>0.53435357882990608</v>
      </c>
      <c r="E17" s="474">
        <f>'INDICADORES ECONÔMICOS MENSAIS'!F23</f>
        <v>0.42804746494066886</v>
      </c>
      <c r="F17" s="474">
        <f>'INDICADORES ECONÔMICOS MENSAIS'!G23</f>
        <v>0.35854554668693778</v>
      </c>
      <c r="G17" s="474">
        <f>'INDICADORES ECONÔMICOS MENSAIS'!H23</f>
        <v>0.70429991532403069</v>
      </c>
      <c r="H17" s="474">
        <f>'INDICADORES ECONÔMICOS MENSAIS'!I23</f>
        <v>0.64934642623393357</v>
      </c>
      <c r="I17" s="481" t="s">
        <v>451</v>
      </c>
      <c r="J17" s="474"/>
      <c r="K17" s="474">
        <f>'INDICADORES ECONÔMICOS MENSAIS'!J23</f>
        <v>0.67776989643921126</v>
      </c>
      <c r="L17" s="474" t="e">
        <f>'INDICADORES ECONÔMICOS MENSAIS'!K23</f>
        <v>#DIV/0!</v>
      </c>
      <c r="M17" s="474" t="e">
        <f>'INDICADORES ECONÔMICOS MENSAIS'!L23</f>
        <v>#DIV/0!</v>
      </c>
      <c r="N17" s="474" t="e">
        <f>'INDICADORES ECONÔMICOS MENSAIS'!M23</f>
        <v>#DIV/0!</v>
      </c>
      <c r="O17" s="474" t="e">
        <f>'INDICADORES ECONÔMICOS MENSAIS'!N23</f>
        <v>#DIV/0!</v>
      </c>
      <c r="P17" s="474" t="e">
        <f>'INDICADORES ECONÔMICOS MENSAIS'!O23</f>
        <v>#DIV/0!</v>
      </c>
    </row>
    <row r="18" spans="1:19">
      <c r="A18" s="482" t="s">
        <v>309</v>
      </c>
      <c r="B18" s="411"/>
      <c r="C18" s="472">
        <f>'INDICADORES ECONÔMICOS MENSAIS'!D24</f>
        <v>563.99</v>
      </c>
      <c r="D18" s="472">
        <f>'INDICADORES ECONÔMICOS MENSAIS'!E24</f>
        <v>416.3119999999999</v>
      </c>
      <c r="E18" s="472">
        <f>'INDICADORES ECONÔMICOS MENSAIS'!F24</f>
        <v>669.79599999999982</v>
      </c>
      <c r="F18" s="472">
        <f>'INDICADORES ECONÔMICOS MENSAIS'!G24</f>
        <v>744.05600000000015</v>
      </c>
      <c r="G18" s="472">
        <f>'INDICADORES ECONÔMICOS MENSAIS'!H24</f>
        <v>209.32599999999991</v>
      </c>
      <c r="H18" s="472">
        <f>'INDICADORES ECONÔMICOS MENSAIS'!I24</f>
        <v>-129.19230000000016</v>
      </c>
      <c r="I18" s="482" t="s">
        <v>309</v>
      </c>
      <c r="J18" s="472"/>
      <c r="K18" s="472">
        <f>'INDICADORES ECONÔMICOS MENSAIS'!J24</f>
        <v>319.84999999999991</v>
      </c>
      <c r="L18" s="472">
        <f>'INDICADORES ECONÔMICOS MENSAIS'!K24</f>
        <v>0</v>
      </c>
      <c r="M18" s="472">
        <f>'INDICADORES ECONÔMICOS MENSAIS'!L24</f>
        <v>0</v>
      </c>
      <c r="N18" s="472">
        <f>'INDICADORES ECONÔMICOS MENSAIS'!M24</f>
        <v>0</v>
      </c>
      <c r="O18" s="472">
        <f>'INDICADORES ECONÔMICOS MENSAIS'!N24</f>
        <v>0</v>
      </c>
      <c r="P18" s="472">
        <f>'INDICADORES ECONÔMICOS MENSAIS'!O24</f>
        <v>0</v>
      </c>
    </row>
    <row r="19" spans="1:19">
      <c r="A19" s="482" t="s">
        <v>322</v>
      </c>
      <c r="B19" s="411"/>
      <c r="C19" s="472">
        <f>'INDICADORES ECONÔMICOS MENSAIS'!D25</f>
        <v>0.3393441636582431</v>
      </c>
      <c r="D19" s="472">
        <f>'INDICADORES ECONÔMICOS MENSAIS'!E25</f>
        <v>0.28205420054200536</v>
      </c>
      <c r="E19" s="472">
        <f>'INDICADORES ECONÔMICOS MENSAIS'!F25</f>
        <v>0.43352491909385099</v>
      </c>
      <c r="F19" s="472">
        <f>'INDICADORES ECONÔMICOS MENSAIS'!G25</f>
        <v>0.51670555555555564</v>
      </c>
      <c r="G19" s="472">
        <f>'INDICADORES ECONÔMICOS MENSAIS'!H25</f>
        <v>0.21852594216515284</v>
      </c>
      <c r="H19" s="472">
        <f>'INDICADORES ECONÔMICOS MENSAIS'!I25</f>
        <v>-0.10310638467677587</v>
      </c>
      <c r="I19" s="482" t="s">
        <v>322</v>
      </c>
      <c r="J19" s="472"/>
      <c r="K19" s="472">
        <f>'INDICADORES ECONÔMICOS MENSAIS'!J25</f>
        <v>0.17242587601078163</v>
      </c>
      <c r="L19" s="472" t="e">
        <f>'INDICADORES ECONÔMICOS MENSAIS'!K25</f>
        <v>#DIV/0!</v>
      </c>
      <c r="M19" s="472" t="e">
        <f>'INDICADORES ECONÔMICOS MENSAIS'!L25</f>
        <v>#DIV/0!</v>
      </c>
      <c r="N19" s="472" t="e">
        <f>'INDICADORES ECONÔMICOS MENSAIS'!M25</f>
        <v>#DIV/0!</v>
      </c>
      <c r="O19" s="472" t="e">
        <f>'INDICADORES ECONÔMICOS MENSAIS'!N25</f>
        <v>#DIV/0!</v>
      </c>
      <c r="P19" s="472" t="e">
        <f>'INDICADORES ECONÔMICOS MENSAIS'!O25</f>
        <v>#DIV/0!</v>
      </c>
    </row>
    <row r="20" spans="1:19">
      <c r="A20" s="482" t="s">
        <v>453</v>
      </c>
      <c r="B20" s="411"/>
      <c r="C20" s="472">
        <f>'INDICADORES ECONÔMICOS MENSAIS'!D27</f>
        <v>64.089772727272717</v>
      </c>
      <c r="D20" s="472">
        <f>'INDICADORES ECONÔMICOS MENSAIS'!E27</f>
        <v>47.308181818181801</v>
      </c>
      <c r="E20" s="472">
        <f>'INDICADORES ECONÔMICOS MENSAIS'!F27</f>
        <v>76.113181818181786</v>
      </c>
      <c r="F20" s="472">
        <f>'INDICADORES ECONÔMICOS MENSAIS'!G27</f>
        <v>84.551818181818192</v>
      </c>
      <c r="G20" s="472">
        <f>'INDICADORES ECONÔMICOS MENSAIS'!H27</f>
        <v>23.787045454545442</v>
      </c>
      <c r="H20" s="472">
        <f>'INDICADORES ECONÔMICOS MENSAIS'!I27</f>
        <v>-14.680943181818199</v>
      </c>
      <c r="I20" s="482" t="s">
        <v>453</v>
      </c>
      <c r="J20" s="472"/>
      <c r="K20" s="472">
        <f>'INDICADORES ECONÔMICOS MENSAIS'!J27</f>
        <v>36.346590909090892</v>
      </c>
      <c r="L20" s="472">
        <f>'INDICADORES ECONÔMICOS MENSAIS'!K27</f>
        <v>0</v>
      </c>
      <c r="M20" s="472">
        <f>'INDICADORES ECONÔMICOS MENSAIS'!L27</f>
        <v>0</v>
      </c>
      <c r="N20" s="472">
        <f>'INDICADORES ECONÔMICOS MENSAIS'!M27</f>
        <v>0</v>
      </c>
      <c r="O20" s="472">
        <f>'INDICADORES ECONÔMICOS MENSAIS'!N27</f>
        <v>0</v>
      </c>
      <c r="P20" s="472">
        <f>'INDICADORES ECONÔMICOS MENSAIS'!O27</f>
        <v>0</v>
      </c>
    </row>
    <row r="21" spans="1:19">
      <c r="A21" s="482" t="s">
        <v>454</v>
      </c>
      <c r="B21" s="411"/>
      <c r="C21" s="472">
        <f>'INDICADORES ECONÔMICOS MENSAIS'!D28</f>
        <v>80.570000000000007</v>
      </c>
      <c r="D21" s="472">
        <f>'INDICADORES ECONÔMICOS MENSAIS'!E28</f>
        <v>59.47314285714284</v>
      </c>
      <c r="E21" s="472">
        <f>'INDICADORES ECONÔMICOS MENSAIS'!F28</f>
        <v>133.95919999999995</v>
      </c>
      <c r="F21" s="472">
        <f>'INDICADORES ECONÔMICOS MENSAIS'!G28</f>
        <v>148.81120000000004</v>
      </c>
      <c r="G21" s="472">
        <f>'INDICADORES ECONÔMICOS MENSAIS'!H28</f>
        <v>41.86519999999998</v>
      </c>
      <c r="H21" s="472">
        <f>'INDICADORES ECONÔMICOS MENSAIS'!I28</f>
        <v>-25.838460000000033</v>
      </c>
      <c r="I21" s="482" t="s">
        <v>454</v>
      </c>
      <c r="J21" s="472"/>
      <c r="K21" s="472">
        <f>'INDICADORES ECONÔMICOS MENSAIS'!J28</f>
        <v>39.981249999999989</v>
      </c>
      <c r="L21" s="472" t="e">
        <f>'INDICADORES ECONÔMICOS MENSAIS'!K28</f>
        <v>#DIV/0!</v>
      </c>
      <c r="M21" s="472" t="e">
        <f>'INDICADORES ECONÔMICOS MENSAIS'!L28</f>
        <v>#DIV/0!</v>
      </c>
      <c r="N21" s="472" t="e">
        <f>'INDICADORES ECONÔMICOS MENSAIS'!M28</f>
        <v>#DIV/0!</v>
      </c>
      <c r="O21" s="472" t="e">
        <f>'INDICADORES ECONÔMICOS MENSAIS'!N28</f>
        <v>#DIV/0!</v>
      </c>
      <c r="P21" s="472" t="e">
        <f>'INDICADORES ECONÔMICOS MENSAIS'!O28</f>
        <v>#DIV/0!</v>
      </c>
    </row>
    <row r="22" spans="1:19">
      <c r="A22" s="482" t="s">
        <v>455</v>
      </c>
      <c r="B22" s="411"/>
      <c r="C22" s="472">
        <f>'INDICADORES ECONÔMICOS MENSAIS'!D30</f>
        <v>-179.89888888888891</v>
      </c>
      <c r="D22" s="472">
        <f>'INDICADORES ECONÔMICOS MENSAIS'!E30</f>
        <v>-327.57688888888924</v>
      </c>
      <c r="E22" s="472">
        <f>'INDICADORES ECONÔMICOS MENSAIS'!F30</f>
        <v>-74.09288888888932</v>
      </c>
      <c r="F22" s="472">
        <f>'INDICADORES ECONÔMICOS MENSAIS'!G30</f>
        <v>0.16711111111112587</v>
      </c>
      <c r="G22" s="472">
        <f>'INDICADORES ECONÔMICOS MENSAIS'!H30</f>
        <v>-534.56288888888923</v>
      </c>
      <c r="H22" s="472">
        <f>'INDICADORES ECONÔMICOS MENSAIS'!I30</f>
        <v>-873.0811888888893</v>
      </c>
      <c r="I22" s="482" t="s">
        <v>455</v>
      </c>
      <c r="J22" s="472"/>
      <c r="K22" s="472">
        <f>'INDICADORES ECONÔMICOS MENSAIS'!J30</f>
        <v>-424.03888888888923</v>
      </c>
      <c r="L22" s="472">
        <f>'INDICADORES ECONÔMICOS MENSAIS'!K30</f>
        <v>-743.88888888888903</v>
      </c>
      <c r="M22" s="472">
        <f>'INDICADORES ECONÔMICOS MENSAIS'!L30</f>
        <v>-743.88888888888903</v>
      </c>
      <c r="N22" s="472">
        <f>'INDICADORES ECONÔMICOS MENSAIS'!M30</f>
        <v>-743.88888888888903</v>
      </c>
      <c r="O22" s="472">
        <f>'INDICADORES ECONÔMICOS MENSAIS'!N30</f>
        <v>-743.88888888888903</v>
      </c>
      <c r="P22" s="472">
        <f>'INDICADORES ECONÔMICOS MENSAIS'!O30</f>
        <v>-743.88888888888903</v>
      </c>
    </row>
    <row r="23" spans="1:19">
      <c r="A23" s="482" t="s">
        <v>456</v>
      </c>
      <c r="B23" s="411"/>
      <c r="C23" s="472">
        <f>'INDICADORES ECONÔMICOS MENSAIS'!D39</f>
        <v>73.07123254746439</v>
      </c>
      <c r="D23" s="472">
        <f>'INDICADORES ECONÔMICOS MENSAIS'!E39</f>
        <v>87.913231742859566</v>
      </c>
      <c r="E23" s="472">
        <f>'INDICADORES ECONÔMICOS MENSAIS'!F39</f>
        <v>57.196934257263116</v>
      </c>
      <c r="F23" s="472">
        <f>'INDICADORES ECONÔMICOS MENSAIS'!G39</f>
        <v>47.98921944943212</v>
      </c>
      <c r="G23" s="472">
        <f>'INDICADORES ECONÔMICOS MENSAIS'!H39</f>
        <v>113.47072137346646</v>
      </c>
      <c r="H23" s="472">
        <f>'INDICADORES ECONÔMICOS MENSAIS'!I39</f>
        <v>-240.49234559071422</v>
      </c>
      <c r="I23" s="482" t="s">
        <v>456</v>
      </c>
      <c r="J23" s="472"/>
      <c r="K23" s="472">
        <f>'INDICADORES ECONÔMICOS MENSAIS'!J39</f>
        <v>143.80844029898284</v>
      </c>
      <c r="L23" s="472" t="e">
        <f>'INDICADORES ECONÔMICOS MENSAIS'!K39</f>
        <v>#DIV/0!</v>
      </c>
      <c r="M23" s="472" t="e">
        <f>'INDICADORES ECONÔMICOS MENSAIS'!L39</f>
        <v>#DIV/0!</v>
      </c>
      <c r="N23" s="472" t="e">
        <f>'INDICADORES ECONÔMICOS MENSAIS'!M39</f>
        <v>#DIV/0!</v>
      </c>
      <c r="O23" s="472" t="e">
        <f>'INDICADORES ECONÔMICOS MENSAIS'!N39</f>
        <v>#DIV/0!</v>
      </c>
      <c r="P23" s="472" t="e">
        <f>'INDICADORES ECONÔMICOS MENSAIS'!O39</f>
        <v>#DIV/0!</v>
      </c>
    </row>
    <row r="24" spans="1:19">
      <c r="A24" s="411"/>
      <c r="B24" s="411"/>
      <c r="C24" s="470"/>
      <c r="D24" s="470"/>
      <c r="E24" s="470"/>
      <c r="F24" s="470"/>
      <c r="G24" s="470"/>
      <c r="H24" s="470"/>
      <c r="I24" s="478"/>
      <c r="J24" s="478"/>
      <c r="K24" s="470"/>
    </row>
    <row r="25" spans="1:19" s="1" customFormat="1">
      <c r="A25" s="566" t="s">
        <v>458</v>
      </c>
      <c r="B25" s="566"/>
      <c r="C25" s="566"/>
      <c r="D25" s="566"/>
      <c r="E25" s="566"/>
      <c r="F25" s="566"/>
      <c r="G25" s="566"/>
      <c r="H25" s="566"/>
      <c r="I25" s="566" t="s">
        <v>458</v>
      </c>
      <c r="J25" s="566"/>
      <c r="K25" s="566"/>
      <c r="L25" s="566"/>
      <c r="M25" s="566"/>
      <c r="N25" s="566"/>
      <c r="O25" s="566"/>
      <c r="P25" s="566"/>
      <c r="Q25" s="490"/>
      <c r="R25" s="490"/>
      <c r="S25" s="490"/>
    </row>
    <row r="26" spans="1:19" s="487" customFormat="1">
      <c r="A26" s="488" t="s">
        <v>2</v>
      </c>
      <c r="B26" s="488" t="s">
        <v>449</v>
      </c>
      <c r="C26" s="489" t="s">
        <v>4</v>
      </c>
      <c r="D26" s="489" t="s">
        <v>5</v>
      </c>
      <c r="E26" s="489" t="s">
        <v>6</v>
      </c>
      <c r="F26" s="489" t="s">
        <v>7</v>
      </c>
      <c r="G26" s="489" t="s">
        <v>8</v>
      </c>
      <c r="H26" s="489" t="s">
        <v>41</v>
      </c>
      <c r="I26" s="488" t="s">
        <v>2</v>
      </c>
      <c r="J26" s="488" t="s">
        <v>449</v>
      </c>
      <c r="K26" s="489" t="s">
        <v>42</v>
      </c>
      <c r="L26" s="489" t="s">
        <v>53</v>
      </c>
      <c r="M26" s="489" t="s">
        <v>44</v>
      </c>
      <c r="N26" s="489" t="s">
        <v>45</v>
      </c>
      <c r="O26" s="489" t="s">
        <v>46</v>
      </c>
      <c r="P26" s="489" t="s">
        <v>47</v>
      </c>
      <c r="Q26" s="490"/>
      <c r="R26" s="490"/>
      <c r="S26" s="490"/>
    </row>
    <row r="27" spans="1:19">
      <c r="A27" s="482" t="s">
        <v>459</v>
      </c>
      <c r="B27" s="411"/>
      <c r="C27" s="479">
        <f>'INDICADORES TÉCNICOS MENSAIS'!C7</f>
        <v>1662</v>
      </c>
      <c r="D27" s="479">
        <f>'INDICADORES TÉCNICOS MENSAIS'!D7</f>
        <v>1476</v>
      </c>
      <c r="E27" s="479">
        <f>'INDICADORES TÉCNICOS MENSAIS'!E7</f>
        <v>1545</v>
      </c>
      <c r="F27" s="479">
        <f>'INDICADORES TÉCNICOS MENSAIS'!F7</f>
        <v>1440</v>
      </c>
      <c r="G27" s="479">
        <f>'INDICADORES TÉCNICOS MENSAIS'!G7</f>
        <v>957.9</v>
      </c>
      <c r="H27" s="479">
        <f>'INDICADORES TÉCNICOS MENSAIS'!H7</f>
        <v>1253</v>
      </c>
      <c r="I27" s="482" t="s">
        <v>459</v>
      </c>
      <c r="J27" s="479"/>
      <c r="K27" s="479">
        <f>'INDICADORES TÉCNICOS MENSAIS'!I7</f>
        <v>1855</v>
      </c>
      <c r="L27" s="479">
        <f>'INDICADORES TÉCNICOS MENSAIS'!J7</f>
        <v>0</v>
      </c>
      <c r="M27" s="479">
        <f>'INDICADORES TÉCNICOS MENSAIS'!K7</f>
        <v>0</v>
      </c>
      <c r="N27" s="479">
        <f>'INDICADORES TÉCNICOS MENSAIS'!L7</f>
        <v>0</v>
      </c>
      <c r="O27" s="479">
        <f>'INDICADORES TÉCNICOS MENSAIS'!M7</f>
        <v>0</v>
      </c>
      <c r="P27" s="479">
        <f>'INDICADORES TÉCNICOS MENSAIS'!N7</f>
        <v>0</v>
      </c>
    </row>
    <row r="28" spans="1:19">
      <c r="A28" s="483" t="s">
        <v>327</v>
      </c>
      <c r="C28" s="480">
        <f>'INDICADORES TÉCNICOS MENSAIS'!C18</f>
        <v>0.875</v>
      </c>
      <c r="D28" s="480">
        <f>'INDICADORES TÉCNICOS MENSAIS'!D18</f>
        <v>0.875</v>
      </c>
      <c r="E28" s="480">
        <f>'INDICADORES TÉCNICOS MENSAIS'!E18</f>
        <v>0.625</v>
      </c>
      <c r="F28" s="480">
        <f>'INDICADORES TÉCNICOS MENSAIS'!F18</f>
        <v>0.625</v>
      </c>
      <c r="G28" s="480">
        <f>'INDICADORES TÉCNICOS MENSAIS'!G18</f>
        <v>0.625</v>
      </c>
      <c r="H28" s="480">
        <f>'INDICADORES TÉCNICOS MENSAIS'!H18</f>
        <v>0.625</v>
      </c>
      <c r="I28" s="483" t="s">
        <v>327</v>
      </c>
      <c r="J28" s="480"/>
      <c r="K28" s="480">
        <f>'INDICADORES TÉCNICOS MENSAIS'!I18</f>
        <v>0.72727272727272729</v>
      </c>
      <c r="L28" s="480" t="e">
        <f>'INDICADORES TÉCNICOS MENSAIS'!J18</f>
        <v>#DIV/0!</v>
      </c>
      <c r="M28" s="480" t="e">
        <f>'INDICADORES TÉCNICOS MENSAIS'!K18</f>
        <v>#DIV/0!</v>
      </c>
      <c r="N28" s="480" t="e">
        <f>'INDICADORES TÉCNICOS MENSAIS'!L18</f>
        <v>#DIV/0!</v>
      </c>
      <c r="O28" s="480" t="e">
        <f>'INDICADORES TÉCNICOS MENSAIS'!M18</f>
        <v>#DIV/0!</v>
      </c>
      <c r="P28" s="480" t="e">
        <f>'INDICADORES TÉCNICOS MENSAIS'!N18</f>
        <v>#DIV/0!</v>
      </c>
    </row>
    <row r="29" spans="1:19">
      <c r="A29" s="483" t="s">
        <v>13</v>
      </c>
      <c r="C29" s="480">
        <f>'INDICADORES TÉCNICOS MENSAIS'!C19</f>
        <v>0.35</v>
      </c>
      <c r="D29" s="480">
        <f>'INDICADORES TÉCNICOS MENSAIS'!D19</f>
        <v>0.35</v>
      </c>
      <c r="E29" s="480">
        <f>'INDICADORES TÉCNICOS MENSAIS'!E19</f>
        <v>0.25</v>
      </c>
      <c r="F29" s="480">
        <f>'INDICADORES TÉCNICOS MENSAIS'!F19</f>
        <v>0.25</v>
      </c>
      <c r="G29" s="480">
        <f>'INDICADORES TÉCNICOS MENSAIS'!G19</f>
        <v>0.25</v>
      </c>
      <c r="H29" s="480">
        <f>'INDICADORES TÉCNICOS MENSAIS'!H19</f>
        <v>0.25</v>
      </c>
      <c r="I29" s="483" t="s">
        <v>13</v>
      </c>
      <c r="J29" s="480"/>
      <c r="K29" s="480">
        <f>'INDICADORES TÉCNICOS MENSAIS'!I19</f>
        <v>0.38095238095238093</v>
      </c>
      <c r="L29" s="480" t="e">
        <f>'INDICADORES TÉCNICOS MENSAIS'!J19</f>
        <v>#DIV/0!</v>
      </c>
      <c r="M29" s="480" t="e">
        <f>'INDICADORES TÉCNICOS MENSAIS'!K19</f>
        <v>#DIV/0!</v>
      </c>
      <c r="N29" s="480" t="e">
        <f>'INDICADORES TÉCNICOS MENSAIS'!L19</f>
        <v>#DIV/0!</v>
      </c>
      <c r="O29" s="480" t="e">
        <f>'INDICADORES TÉCNICOS MENSAIS'!M19</f>
        <v>#DIV/0!</v>
      </c>
      <c r="P29" s="480" t="e">
        <f>'INDICADORES TÉCNICOS MENSAIS'!N19</f>
        <v>#DIV/0!</v>
      </c>
    </row>
    <row r="30" spans="1:19">
      <c r="A30" s="483" t="s">
        <v>338</v>
      </c>
      <c r="C30" s="480">
        <f>'INDICADORES TÉCNICOS MENSAIS'!C20</f>
        <v>0.79545454545454541</v>
      </c>
      <c r="D30" s="480">
        <f>'INDICADORES TÉCNICOS MENSAIS'!D20</f>
        <v>0.79545454545454541</v>
      </c>
      <c r="E30" s="480">
        <f>'INDICADORES TÉCNICOS MENSAIS'!E20</f>
        <v>0.56818181818181812</v>
      </c>
      <c r="F30" s="480">
        <f>'INDICADORES TÉCNICOS MENSAIS'!F20</f>
        <v>0.56818181818181812</v>
      </c>
      <c r="G30" s="480">
        <f>'INDICADORES TÉCNICOS MENSAIS'!G20</f>
        <v>0.56818181818181812</v>
      </c>
      <c r="H30" s="480">
        <f>'INDICADORES TÉCNICOS MENSAIS'!H20</f>
        <v>0.56818181818181812</v>
      </c>
      <c r="I30" s="483" t="s">
        <v>338</v>
      </c>
      <c r="J30" s="480"/>
      <c r="K30" s="480">
        <f>'INDICADORES TÉCNICOS MENSAIS'!I20</f>
        <v>0.90909090909090906</v>
      </c>
      <c r="L30" s="480">
        <f>'INDICADORES TÉCNICOS MENSAIS'!J20</f>
        <v>0</v>
      </c>
      <c r="M30" s="480">
        <f>'INDICADORES TÉCNICOS MENSAIS'!K20</f>
        <v>0</v>
      </c>
      <c r="N30" s="480">
        <f>'INDICADORES TÉCNICOS MENSAIS'!L20</f>
        <v>0</v>
      </c>
      <c r="O30" s="480">
        <f>'INDICADORES TÉCNICOS MENSAIS'!M20</f>
        <v>0</v>
      </c>
      <c r="P30" s="480">
        <f>'INDICADORES TÉCNICOS MENSAIS'!N20</f>
        <v>0</v>
      </c>
    </row>
    <row r="31" spans="1:19">
      <c r="A31" s="483" t="s">
        <v>367</v>
      </c>
      <c r="C31" s="480">
        <f>'INDICADORES TÉCNICOS MENSAIS'!C21</f>
        <v>1.4</v>
      </c>
      <c r="D31" s="480">
        <f>'INDICADORES TÉCNICOS MENSAIS'!D21</f>
        <v>1.75</v>
      </c>
      <c r="E31" s="480">
        <f>'INDICADORES TÉCNICOS MENSAIS'!E21</f>
        <v>1.25</v>
      </c>
      <c r="F31" s="480" t="e">
        <f>'INDICADORES TÉCNICOS MENSAIS'!F21</f>
        <v>#DIV/0!</v>
      </c>
      <c r="G31" s="480" t="e">
        <f>'INDICADORES TÉCNICOS MENSAIS'!G21</f>
        <v>#DIV/0!</v>
      </c>
      <c r="H31" s="480">
        <f>'INDICADORES TÉCNICOS MENSAIS'!H21</f>
        <v>1.25</v>
      </c>
      <c r="I31" s="483" t="s">
        <v>367</v>
      </c>
      <c r="J31" s="480"/>
      <c r="K31" s="480">
        <f>'INDICADORES TÉCNICOS MENSAIS'!I21</f>
        <v>8</v>
      </c>
      <c r="L31" s="480" t="e">
        <f>'INDICADORES TÉCNICOS MENSAIS'!J21</f>
        <v>#DIV/0!</v>
      </c>
      <c r="M31" s="480" t="e">
        <f>'INDICADORES TÉCNICOS MENSAIS'!K21</f>
        <v>#DIV/0!</v>
      </c>
      <c r="N31" s="480" t="e">
        <f>'INDICADORES TÉCNICOS MENSAIS'!L21</f>
        <v>#DIV/0!</v>
      </c>
      <c r="O31" s="480" t="e">
        <f>'INDICADORES TÉCNICOS MENSAIS'!M21</f>
        <v>#DIV/0!</v>
      </c>
      <c r="P31" s="480" t="e">
        <f>'INDICADORES TÉCNICOS MENSAIS'!N21</f>
        <v>#DIV/0!</v>
      </c>
    </row>
    <row r="32" spans="1:19">
      <c r="A32" s="483" t="s">
        <v>340</v>
      </c>
      <c r="C32" s="480">
        <f>'INDICADORES TÉCNICOS MENSAIS'!C22</f>
        <v>7.9142857142857137</v>
      </c>
      <c r="D32" s="480">
        <f>'INDICADORES TÉCNICOS MENSAIS'!D22</f>
        <v>7.0285714285714285</v>
      </c>
      <c r="E32" s="480">
        <f>'INDICADORES TÉCNICOS MENSAIS'!E22</f>
        <v>10.3</v>
      </c>
      <c r="F32" s="480">
        <f>'INDICADORES TÉCNICOS MENSAIS'!F22</f>
        <v>9.6</v>
      </c>
      <c r="G32" s="480">
        <f>'INDICADORES TÉCNICOS MENSAIS'!G22</f>
        <v>6.3859999999999992</v>
      </c>
      <c r="H32" s="480">
        <f>'INDICADORES TÉCNICOS MENSAIS'!H22</f>
        <v>8.3533333333333335</v>
      </c>
      <c r="I32" s="483" t="s">
        <v>340</v>
      </c>
      <c r="J32" s="480"/>
      <c r="K32" s="480">
        <f>'INDICADORES TÉCNICOS MENSAIS'!I22</f>
        <v>7.729166666666667</v>
      </c>
      <c r="L32" s="480" t="e">
        <f>'INDICADORES TÉCNICOS MENSAIS'!J22</f>
        <v>#DIV/0!</v>
      </c>
      <c r="M32" s="480" t="e">
        <f>'INDICADORES TÉCNICOS MENSAIS'!K22</f>
        <v>#DIV/0!</v>
      </c>
      <c r="N32" s="480" t="e">
        <f>'INDICADORES TÉCNICOS MENSAIS'!L22</f>
        <v>#DIV/0!</v>
      </c>
      <c r="O32" s="480" t="e">
        <f>'INDICADORES TÉCNICOS MENSAIS'!M22</f>
        <v>#DIV/0!</v>
      </c>
      <c r="P32" s="480" t="e">
        <f>'INDICADORES TÉCNICOS MENSAIS'!N22</f>
        <v>#DIV/0!</v>
      </c>
    </row>
    <row r="33" spans="1:16">
      <c r="A33" s="483" t="s">
        <v>343</v>
      </c>
      <c r="C33" s="480">
        <f>'INDICADORES TÉCNICOS MENSAIS'!C23</f>
        <v>332.4</v>
      </c>
      <c r="D33" s="480">
        <f>'INDICADORES TÉCNICOS MENSAIS'!D23</f>
        <v>369</v>
      </c>
      <c r="E33" s="480">
        <f>'INDICADORES TÉCNICOS MENSAIS'!E23</f>
        <v>386.25</v>
      </c>
      <c r="F33" s="480" t="e">
        <f>'INDICADORES TÉCNICOS MENSAIS'!F23</f>
        <v>#DIV/0!</v>
      </c>
      <c r="G33" s="480" t="e">
        <f>'INDICADORES TÉCNICOS MENSAIS'!G23</f>
        <v>#DIV/0!</v>
      </c>
      <c r="H33" s="480">
        <f>'INDICADORES TÉCNICOS MENSAIS'!H23</f>
        <v>313.25</v>
      </c>
      <c r="I33" s="483" t="s">
        <v>343</v>
      </c>
      <c r="J33" s="480"/>
      <c r="K33" s="480">
        <f>'INDICADORES TÉCNICOS MENSAIS'!I23</f>
        <v>1855</v>
      </c>
      <c r="L33" s="480" t="e">
        <f>'INDICADORES TÉCNICOS MENSAIS'!J23</f>
        <v>#DIV/0!</v>
      </c>
      <c r="M33" s="480" t="e">
        <f>'INDICADORES TÉCNICOS MENSAIS'!K23</f>
        <v>#DIV/0!</v>
      </c>
      <c r="N33" s="480" t="e">
        <f>'INDICADORES TÉCNICOS MENSAIS'!L23</f>
        <v>#DIV/0!</v>
      </c>
      <c r="O33" s="480" t="e">
        <f>'INDICADORES TÉCNICOS MENSAIS'!M23</f>
        <v>#DIV/0!</v>
      </c>
      <c r="P33" s="480" t="e">
        <f>'INDICADORES TÉCNICOS MENSAIS'!N23</f>
        <v>#DIV/0!</v>
      </c>
    </row>
    <row r="34" spans="1:16">
      <c r="A34" s="483" t="s">
        <v>15</v>
      </c>
      <c r="C34" s="480">
        <f>'INDICADORES TÉCNICOS MENSAIS'!C24</f>
        <v>188.86363636363635</v>
      </c>
      <c r="D34" s="480">
        <f>'INDICADORES TÉCNICOS MENSAIS'!D24</f>
        <v>167.72727272727272</v>
      </c>
      <c r="E34" s="480">
        <f>'INDICADORES TÉCNICOS MENSAIS'!E24</f>
        <v>175.56818181818181</v>
      </c>
      <c r="F34" s="480">
        <f>'INDICADORES TÉCNICOS MENSAIS'!F24</f>
        <v>163.63636363636363</v>
      </c>
      <c r="G34" s="480">
        <f>'INDICADORES TÉCNICOS MENSAIS'!G24</f>
        <v>108.85227272727272</v>
      </c>
      <c r="H34" s="480">
        <f>'INDICADORES TÉCNICOS MENSAIS'!H24</f>
        <v>142.38636363636363</v>
      </c>
      <c r="I34" s="483" t="s">
        <v>15</v>
      </c>
      <c r="J34" s="480"/>
      <c r="K34" s="480">
        <f>'INDICADORES TÉCNICOS MENSAIS'!I24</f>
        <v>210.79545454545453</v>
      </c>
      <c r="L34" s="480">
        <f>'INDICADORES TÉCNICOS MENSAIS'!J24</f>
        <v>0</v>
      </c>
      <c r="M34" s="480">
        <f>'INDICADORES TÉCNICOS MENSAIS'!K24</f>
        <v>0</v>
      </c>
      <c r="N34" s="480">
        <f>'INDICADORES TÉCNICOS MENSAIS'!L24</f>
        <v>0</v>
      </c>
      <c r="O34" s="480">
        <f>'INDICADORES TÉCNICOS MENSAIS'!M24</f>
        <v>0</v>
      </c>
      <c r="P34" s="480">
        <f>'INDICADORES TÉCNICOS MENSAIS'!N24</f>
        <v>0</v>
      </c>
    </row>
  </sheetData>
  <mergeCells count="16">
    <mergeCell ref="A2:H2"/>
    <mergeCell ref="A3:H3"/>
    <mergeCell ref="A4:H4"/>
    <mergeCell ref="A5:H5"/>
    <mergeCell ref="A6:H6"/>
    <mergeCell ref="A7:H7"/>
    <mergeCell ref="A25:H25"/>
    <mergeCell ref="I25:P25"/>
    <mergeCell ref="I9:P9"/>
    <mergeCell ref="I7:P7"/>
    <mergeCell ref="A9:H9"/>
    <mergeCell ref="I2:P2"/>
    <mergeCell ref="I3:P3"/>
    <mergeCell ref="I4:P4"/>
    <mergeCell ref="I5:P5"/>
    <mergeCell ref="I6:P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Plan1</vt:lpstr>
      <vt:lpstr>RETORNO MENSAL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Alexandre</cp:lastModifiedBy>
  <cp:lastPrinted>2015-10-05T19:17:32Z</cp:lastPrinted>
  <dcterms:created xsi:type="dcterms:W3CDTF">2015-02-08T00:04:01Z</dcterms:created>
  <dcterms:modified xsi:type="dcterms:W3CDTF">2016-03-23T01:05:44Z</dcterms:modified>
</cp:coreProperties>
</file>