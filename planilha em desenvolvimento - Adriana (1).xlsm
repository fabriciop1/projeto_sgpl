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8.xml" ContentType="application/vnd.openxmlformats-officedocument.drawing+xml"/>
  <Override PartName="/xl/ctrlProps/ctrlProp20.xml" ContentType="application/vnd.ms-excel.controlproperties+xml"/>
  <Override PartName="/xl/drawings/drawing9.xml" ContentType="application/vnd.openxmlformats-officedocument.drawing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drawings/drawing11.xml" ContentType="application/vnd.openxmlformats-officedocument.drawing+xml"/>
  <Override PartName="/xl/ctrlProps/ctrlProp23.xml" ContentType="application/vnd.ms-excel.controlproperties+xml"/>
  <Override PartName="/xl/charts/chart1.xml" ContentType="application/vnd.openxmlformats-officedocument.drawingml.chart+xml"/>
  <Override PartName="/xl/drawings/drawing12.xml" ContentType="application/vnd.openxmlformats-officedocument.drawing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240" yWindow="135" windowWidth="20115" windowHeight="7935" tabRatio="695"/>
  </bookViews>
  <sheets>
    <sheet name="MENU" sheetId="1" r:id="rId1"/>
    <sheet name="PERFIL" sheetId="2" r:id="rId2"/>
    <sheet name="INVENTÁRIO" sheetId="3" r:id="rId3"/>
    <sheet name="DADOS ECONÔMICOS MENSAIS" sheetId="4" r:id="rId4"/>
    <sheet name="DADOS TÉCNICOS MENSAIS" sheetId="10" r:id="rId5"/>
    <sheet name="INDICADORES ECONÔMICOS MENSAIS" sheetId="11" r:id="rId6"/>
    <sheet name="INDICADORES TÉCNICOS MENSAIS" sheetId="5" r:id="rId7"/>
    <sheet name="INDICADORES ECÔNOMICOS ANUAIS" sheetId="13" r:id="rId8"/>
    <sheet name="INDICADORES TÉCNICOS ANUAIS" sheetId="14" r:id="rId9"/>
    <sheet name="CÁLCULO DO VOLUMOSO" sheetId="12" r:id="rId10"/>
    <sheet name="ANÁLISES" sheetId="6" r:id="rId11"/>
    <sheet name="GRÁFICOS" sheetId="7" r:id="rId12"/>
    <sheet name="RETORNO MENSAL" sheetId="8" r:id="rId13"/>
  </sheets>
  <externalReferences>
    <externalReference r:id="rId14"/>
  </externalReferences>
  <calcPr calcId="144525"/>
</workbook>
</file>

<file path=xl/calcChain.xml><?xml version="1.0" encoding="utf-8"?>
<calcChain xmlns="http://schemas.openxmlformats.org/spreadsheetml/2006/main">
  <c r="D9" i="5" l="1"/>
  <c r="J7" i="1"/>
  <c r="J6" i="1"/>
  <c r="J5" i="1"/>
  <c r="J8" i="3"/>
  <c r="B74" i="3"/>
  <c r="B76" i="3" s="1"/>
  <c r="H63" i="3"/>
  <c r="B62" i="3"/>
  <c r="G61" i="3"/>
  <c r="F61" i="3"/>
  <c r="E61" i="3"/>
  <c r="D61" i="3"/>
  <c r="C61" i="3"/>
  <c r="B61" i="3"/>
  <c r="F57" i="3"/>
  <c r="E57" i="3"/>
  <c r="D57" i="3"/>
  <c r="C57" i="3"/>
  <c r="B57" i="3"/>
  <c r="I56" i="3"/>
  <c r="G56" i="3"/>
  <c r="J56" i="3" s="1"/>
  <c r="J55" i="3"/>
  <c r="I55" i="3"/>
  <c r="J54" i="3"/>
  <c r="I54" i="3"/>
  <c r="J53" i="3"/>
  <c r="I53" i="3"/>
  <c r="J52" i="3"/>
  <c r="I52" i="3"/>
  <c r="J51" i="3"/>
  <c r="I51" i="3"/>
  <c r="J50" i="3"/>
  <c r="I50" i="3"/>
  <c r="J49" i="3"/>
  <c r="I49" i="3"/>
  <c r="J48" i="3"/>
  <c r="I48" i="3"/>
  <c r="B70" i="3" l="1"/>
  <c r="B72" i="3" s="1"/>
  <c r="J9" i="3" s="1"/>
  <c r="J13" i="3" s="1"/>
  <c r="G57" i="3"/>
  <c r="G62" i="3" s="1"/>
  <c r="J57" i="3"/>
  <c r="I57" i="3"/>
  <c r="D85" i="4"/>
  <c r="D83" i="4"/>
  <c r="D79" i="4"/>
  <c r="D80" i="4"/>
  <c r="D81" i="4"/>
  <c r="D78" i="4"/>
  <c r="D73" i="4"/>
  <c r="D74" i="4"/>
  <c r="D75" i="4"/>
  <c r="D76" i="4"/>
  <c r="D72" i="4"/>
  <c r="D68" i="4"/>
  <c r="D69" i="4"/>
  <c r="D70" i="4"/>
  <c r="D67" i="4"/>
  <c r="D55" i="4"/>
  <c r="D56" i="4"/>
  <c r="D57" i="4"/>
  <c r="D58" i="4"/>
  <c r="D59" i="4"/>
  <c r="D60" i="4"/>
  <c r="D61" i="4"/>
  <c r="D62" i="4"/>
  <c r="D63" i="4"/>
  <c r="D64" i="4"/>
  <c r="D65" i="4"/>
  <c r="D54" i="4"/>
  <c r="D48" i="4"/>
  <c r="D49" i="4"/>
  <c r="D50" i="4"/>
  <c r="D51" i="4"/>
  <c r="D52" i="4"/>
  <c r="D47" i="4"/>
  <c r="D39" i="4"/>
  <c r="D40" i="4"/>
  <c r="D41" i="4"/>
  <c r="D42" i="4"/>
  <c r="D43" i="4"/>
  <c r="D44" i="4"/>
  <c r="D45" i="4"/>
  <c r="D38" i="4"/>
  <c r="D30" i="4"/>
  <c r="D31" i="4"/>
  <c r="D32" i="4"/>
  <c r="D33" i="4"/>
  <c r="D34" i="4"/>
  <c r="D35" i="4"/>
  <c r="D36" i="4"/>
  <c r="D29" i="4"/>
  <c r="D17" i="4"/>
  <c r="D18" i="4"/>
  <c r="D19" i="4"/>
  <c r="D20" i="4"/>
  <c r="D21" i="4"/>
  <c r="D22" i="4"/>
  <c r="D23" i="4"/>
  <c r="D24" i="4"/>
  <c r="D25" i="4"/>
  <c r="D26" i="4"/>
  <c r="D27" i="4"/>
  <c r="D16" i="4"/>
  <c r="D8" i="4"/>
  <c r="D9" i="4"/>
  <c r="D10" i="4"/>
  <c r="D11" i="4"/>
  <c r="D12" i="4"/>
  <c r="D7" i="4"/>
  <c r="E13" i="4"/>
  <c r="G13" i="4"/>
  <c r="G84" i="4"/>
  <c r="G85" i="4"/>
  <c r="D24" i="3"/>
  <c r="B24" i="3"/>
  <c r="G83" i="3"/>
  <c r="B66" i="3" l="1"/>
  <c r="B64" i="3"/>
  <c r="J20" i="3" s="1"/>
  <c r="J25" i="3" s="1"/>
  <c r="G87" i="3"/>
  <c r="D17" i="5" l="1"/>
  <c r="D16" i="5"/>
  <c r="D15" i="5"/>
  <c r="D14" i="5"/>
  <c r="D13" i="5"/>
  <c r="D12" i="5"/>
  <c r="D11" i="5"/>
  <c r="D10" i="5"/>
  <c r="D8" i="5"/>
  <c r="D7" i="5"/>
  <c r="D39" i="11"/>
  <c r="D84" i="4"/>
  <c r="D12" i="11" s="1"/>
  <c r="D7" i="11"/>
  <c r="D8" i="11" s="1"/>
  <c r="O12" i="10"/>
  <c r="O13" i="10"/>
  <c r="O14" i="10"/>
  <c r="O15" i="10"/>
  <c r="O16" i="10"/>
  <c r="O17" i="10"/>
  <c r="O18" i="10"/>
  <c r="O19" i="10"/>
  <c r="O20" i="10"/>
  <c r="O21" i="10"/>
  <c r="O23" i="10"/>
  <c r="O24" i="10"/>
  <c r="O25" i="10"/>
  <c r="O26" i="10"/>
  <c r="O27" i="10"/>
  <c r="O28" i="10"/>
  <c r="O29" i="10"/>
  <c r="O30" i="10"/>
  <c r="O31" i="10"/>
  <c r="O11" i="10"/>
  <c r="D24" i="5" l="1"/>
  <c r="D22" i="5"/>
  <c r="D25" i="5"/>
  <c r="D21" i="5"/>
  <c r="D23" i="5"/>
  <c r="D21" i="11"/>
  <c r="D15" i="11"/>
  <c r="D24" i="11" s="1"/>
  <c r="D18" i="11"/>
  <c r="D22" i="11"/>
  <c r="C18" i="12"/>
  <c r="D13" i="12"/>
  <c r="D12" i="12"/>
  <c r="D11" i="12"/>
  <c r="D10" i="12"/>
  <c r="D9" i="12"/>
  <c r="D8" i="12"/>
  <c r="D7" i="12" s="1"/>
  <c r="O7" i="10"/>
  <c r="O6" i="10"/>
  <c r="D13" i="4"/>
  <c r="D6" i="11" s="1"/>
  <c r="B13" i="4"/>
  <c r="E132" i="3"/>
  <c r="G132" i="3" s="1"/>
  <c r="E131" i="3"/>
  <c r="G131" i="3" s="1"/>
  <c r="E130" i="3"/>
  <c r="G130" i="3" s="1"/>
  <c r="E129" i="3"/>
  <c r="G129" i="3" s="1"/>
  <c r="E128" i="3"/>
  <c r="G128" i="3" s="1"/>
  <c r="E127" i="3"/>
  <c r="G127" i="3" s="1"/>
  <c r="E126" i="3"/>
  <c r="G126" i="3" s="1"/>
  <c r="E125" i="3"/>
  <c r="G125" i="3" s="1"/>
  <c r="E124" i="3"/>
  <c r="G124" i="3" s="1"/>
  <c r="E123" i="3"/>
  <c r="G123" i="3" s="1"/>
  <c r="E122" i="3"/>
  <c r="G122" i="3" s="1"/>
  <c r="E121" i="3"/>
  <c r="G121" i="3" s="1"/>
  <c r="E120" i="3"/>
  <c r="G120" i="3" s="1"/>
  <c r="E119" i="3"/>
  <c r="G119" i="3" s="1"/>
  <c r="E118" i="3"/>
  <c r="G118" i="3" s="1"/>
  <c r="E117" i="3"/>
  <c r="G117" i="3" s="1"/>
  <c r="E116" i="3"/>
  <c r="G116" i="3" s="1"/>
  <c r="E115" i="3"/>
  <c r="G115" i="3" s="1"/>
  <c r="E114" i="3"/>
  <c r="G114" i="3" s="1"/>
  <c r="E113" i="3"/>
  <c r="G113" i="3" s="1"/>
  <c r="E112" i="3"/>
  <c r="G112" i="3" s="1"/>
  <c r="E111" i="3"/>
  <c r="G111" i="3" s="1"/>
  <c r="E110" i="3"/>
  <c r="G110" i="3" s="1"/>
  <c r="E109" i="3"/>
  <c r="E101" i="3"/>
  <c r="E100" i="3"/>
  <c r="E99" i="3"/>
  <c r="E98" i="3"/>
  <c r="E97" i="3"/>
  <c r="E96" i="3"/>
  <c r="E95" i="3"/>
  <c r="E94" i="3"/>
  <c r="G94" i="3" s="1"/>
  <c r="E93" i="3"/>
  <c r="G93" i="3" s="1"/>
  <c r="E92" i="3"/>
  <c r="G92" i="3" s="1"/>
  <c r="E91" i="3"/>
  <c r="G91" i="3" s="1"/>
  <c r="E90" i="3"/>
  <c r="G90" i="3" s="1"/>
  <c r="E89" i="3"/>
  <c r="G89" i="3" s="1"/>
  <c r="E88" i="3"/>
  <c r="G88" i="3" s="1"/>
  <c r="E87" i="3"/>
  <c r="E86" i="3"/>
  <c r="G86" i="3" s="1"/>
  <c r="E85" i="3"/>
  <c r="G85" i="3" s="1"/>
  <c r="E84" i="3"/>
  <c r="G84" i="3" s="1"/>
  <c r="E83" i="3"/>
  <c r="C41" i="3"/>
  <c r="D41" i="3" s="1"/>
  <c r="F41" i="3" s="1"/>
  <c r="A41" i="3"/>
  <c r="C40" i="3"/>
  <c r="D40" i="3" s="1"/>
  <c r="F40" i="3" s="1"/>
  <c r="A40" i="3"/>
  <c r="C39" i="3"/>
  <c r="D39" i="3" s="1"/>
  <c r="F39" i="3" s="1"/>
  <c r="A39" i="3"/>
  <c r="C38" i="3"/>
  <c r="D38" i="3" s="1"/>
  <c r="F38" i="3" s="1"/>
  <c r="A38" i="3"/>
  <c r="C37" i="3"/>
  <c r="D37" i="3" s="1"/>
  <c r="F37" i="3" s="1"/>
  <c r="A37" i="3"/>
  <c r="C36" i="3"/>
  <c r="D36" i="3" s="1"/>
  <c r="F36" i="3" s="1"/>
  <c r="A36" i="3"/>
  <c r="C35" i="3"/>
  <c r="D35" i="3" s="1"/>
  <c r="F35" i="3" s="1"/>
  <c r="A35" i="3"/>
  <c r="C34" i="3"/>
  <c r="D34" i="3" s="1"/>
  <c r="F34" i="3" s="1"/>
  <c r="A34" i="3"/>
  <c r="C33" i="3"/>
  <c r="D33" i="3" s="1"/>
  <c r="F33" i="3" s="1"/>
  <c r="A33" i="3"/>
  <c r="C32" i="3"/>
  <c r="D32" i="3" s="1"/>
  <c r="F32" i="3" s="1"/>
  <c r="A32" i="3"/>
  <c r="C31" i="3"/>
  <c r="D31" i="3" s="1"/>
  <c r="F31" i="3" s="1"/>
  <c r="A31" i="3"/>
  <c r="C30" i="3"/>
  <c r="D30" i="3" s="1"/>
  <c r="A30" i="3"/>
  <c r="E22" i="3"/>
  <c r="D22" i="3"/>
  <c r="C22" i="3"/>
  <c r="B22" i="3"/>
  <c r="B25" i="3" l="1"/>
  <c r="J18" i="3" s="1"/>
  <c r="D14" i="12"/>
  <c r="H4" i="12" s="1"/>
  <c r="H5" i="12" s="1"/>
  <c r="H7" i="12" s="1"/>
  <c r="H10" i="12" s="1"/>
  <c r="D23" i="3"/>
  <c r="B23" i="3"/>
  <c r="E102" i="3"/>
  <c r="J21" i="3" s="1"/>
  <c r="C42" i="3"/>
  <c r="E133" i="3"/>
  <c r="J22" i="3" s="1"/>
  <c r="F30" i="3"/>
  <c r="F42" i="3" s="1"/>
  <c r="D42" i="3"/>
  <c r="G109" i="3"/>
  <c r="G133" i="3" s="1"/>
  <c r="J11" i="3" s="1"/>
  <c r="G102" i="3"/>
  <c r="J10" i="3" s="1"/>
  <c r="D38" i="11" l="1"/>
  <c r="H13" i="12"/>
  <c r="H11" i="12"/>
  <c r="H14" i="12" s="1"/>
  <c r="J7" i="3"/>
  <c r="J15" i="3" s="1"/>
  <c r="D13" i="11" s="1"/>
  <c r="J19" i="3"/>
  <c r="D14" i="11" l="1"/>
  <c r="D37" i="11"/>
  <c r="D16" i="11"/>
  <c r="D30" i="11" s="1"/>
  <c r="D19" i="11"/>
  <c r="D23" i="11"/>
  <c r="D25" i="11" s="1"/>
  <c r="D29" i="11"/>
  <c r="D32" i="11" l="1"/>
  <c r="D31" i="11"/>
  <c r="D17" i="11"/>
  <c r="D34" i="11" s="1"/>
  <c r="D33" i="11"/>
  <c r="D20" i="11"/>
  <c r="D27" i="11"/>
  <c r="D28" i="11"/>
  <c r="D26" i="11"/>
  <c r="D42" i="11" l="1"/>
  <c r="D35" i="11"/>
</calcChain>
</file>

<file path=xl/sharedStrings.xml><?xml version="1.0" encoding="utf-8"?>
<sst xmlns="http://schemas.openxmlformats.org/spreadsheetml/2006/main" count="635" uniqueCount="406">
  <si>
    <t>PROGRAMA DE DESENVOLVIMENTO DA PECUÁRIA DE LEITE DO AGRESTE PERNAMBUCANO</t>
  </si>
  <si>
    <t>Grupo de Estudo em Pecuária Leiteira</t>
  </si>
  <si>
    <t>Produtor:</t>
  </si>
  <si>
    <t>Num</t>
  </si>
  <si>
    <t>Indicador</t>
  </si>
  <si>
    <t>Unidade</t>
  </si>
  <si>
    <t>Janeiro</t>
  </si>
  <si>
    <t>Fevereiro</t>
  </si>
  <si>
    <t>Março</t>
  </si>
  <si>
    <t>Abril</t>
  </si>
  <si>
    <t>Maio</t>
  </si>
  <si>
    <t>L/dia</t>
  </si>
  <si>
    <t>Área usada para pecuária</t>
  </si>
  <si>
    <t>ha</t>
  </si>
  <si>
    <t>Cab./mês</t>
  </si>
  <si>
    <t>%</t>
  </si>
  <si>
    <t>Vacas em lactação / rebanho</t>
  </si>
  <si>
    <t>Vacas em lactação / área para pecuária (4 ÷ 3)</t>
  </si>
  <si>
    <t>Cab.</t>
  </si>
  <si>
    <t>Produção / vaca em lactação (1 ÷ 3)</t>
  </si>
  <si>
    <t>Produção / mão-de-obra permanente</t>
  </si>
  <si>
    <t>L/dh</t>
  </si>
  <si>
    <t>Produção / área para pecuária (1 ÷ 2) x 365</t>
  </si>
  <si>
    <t>L/ha/ano</t>
  </si>
  <si>
    <t>Renda bruta da atividade leiteira</t>
  </si>
  <si>
    <t>R$/Ano</t>
  </si>
  <si>
    <t>Renda bruta do leite</t>
  </si>
  <si>
    <t>R$/L</t>
  </si>
  <si>
    <t>Custo total do leite</t>
  </si>
  <si>
    <t>Margem bruta em equivalente litros de leite  (29 ÷ 15)</t>
  </si>
  <si>
    <t>R$/Cab</t>
  </si>
  <si>
    <t>Estoque de capital em (benfeitorias + máquinas + animais+ forrag não anuais)</t>
  </si>
  <si>
    <t>R$</t>
  </si>
  <si>
    <t>Custo da mão-de-obra familiar</t>
  </si>
  <si>
    <t>Taxa de remuneração do capital sem terra (35 ÷ 42) x 100</t>
  </si>
  <si>
    <t>% a.a.</t>
  </si>
  <si>
    <t>Taxa de remuneração do capital com terra (35 ÷ 43) x 100</t>
  </si>
  <si>
    <t>Lucratividade</t>
  </si>
  <si>
    <t>%a.a.</t>
  </si>
  <si>
    <t>Remuneração da mão-de-obra familiar (13 - 19 + 44)</t>
  </si>
  <si>
    <t>Ponto de Resíduo ( RB = COT ) - Litros/dia</t>
  </si>
  <si>
    <t>Ponto de Nivelamento ( RB = CT) - Litros/dia</t>
  </si>
  <si>
    <t>Capital investido por litro de leite</t>
  </si>
  <si>
    <t>R$/Mês</t>
  </si>
  <si>
    <t>L/Mês</t>
  </si>
  <si>
    <t>R$/ha/Mês</t>
  </si>
  <si>
    <t>Mínimo</t>
  </si>
  <si>
    <t>-</t>
  </si>
  <si>
    <t>Máximo</t>
  </si>
  <si>
    <t>% MG</t>
  </si>
  <si>
    <t>% Proteína</t>
  </si>
  <si>
    <t>% Lactose</t>
  </si>
  <si>
    <t>% EST</t>
  </si>
  <si>
    <t>% ESD</t>
  </si>
  <si>
    <t>CCS/ml</t>
  </si>
  <si>
    <t>UFC/ml</t>
  </si>
  <si>
    <t>Mês</t>
  </si>
  <si>
    <t>Junho</t>
  </si>
  <si>
    <t>Julho</t>
  </si>
  <si>
    <t xml:space="preserve">Agosto </t>
  </si>
  <si>
    <t>Setembro</t>
  </si>
  <si>
    <t>Outubro</t>
  </si>
  <si>
    <t>Novembro</t>
  </si>
  <si>
    <t>Dezembro</t>
  </si>
  <si>
    <t>Responsável</t>
  </si>
  <si>
    <t>Data Análise</t>
  </si>
  <si>
    <t>Data Recebimento</t>
  </si>
  <si>
    <t>Parâmetro (IN 62)</t>
  </si>
  <si>
    <t>Data coleta</t>
  </si>
  <si>
    <t>Agosto</t>
  </si>
  <si>
    <t>Empréstimos</t>
  </si>
  <si>
    <t>Outros</t>
  </si>
  <si>
    <t>A - ENTRADAS</t>
  </si>
  <si>
    <t>Mão-de-obra permanente</t>
  </si>
  <si>
    <t>Leite para bezerro</t>
  </si>
  <si>
    <t>Impostos e taxas</t>
  </si>
  <si>
    <t>Reparos de máquinas</t>
  </si>
  <si>
    <t>Reparos de benfeitorias</t>
  </si>
  <si>
    <t>Aluguel de Pastagens</t>
  </si>
  <si>
    <t>Gastos extras (Casa Agropecuária)</t>
  </si>
  <si>
    <t>Concentrado</t>
  </si>
  <si>
    <t xml:space="preserve">  - Fubá de milho</t>
  </si>
  <si>
    <t xml:space="preserve">  - Farelo de trigo</t>
  </si>
  <si>
    <t xml:space="preserve">  - Farelo de Algodão</t>
  </si>
  <si>
    <t xml:space="preserve">  - Farelo de Soja</t>
  </si>
  <si>
    <t xml:space="preserve">  - Melaço</t>
  </si>
  <si>
    <t xml:space="preserve">  - Uréia</t>
  </si>
  <si>
    <t>Mineralização</t>
  </si>
  <si>
    <t>Medicamentos</t>
  </si>
  <si>
    <t xml:space="preserve">  - Sal comum</t>
  </si>
  <si>
    <t xml:space="preserve">  - Sal mineral</t>
  </si>
  <si>
    <t xml:space="preserve">  - Concentrado mineral</t>
  </si>
  <si>
    <t xml:space="preserve">  - Farinha de ossos</t>
  </si>
  <si>
    <t xml:space="preserve">  - Fosfato bicálcico</t>
  </si>
  <si>
    <t xml:space="preserve">  - Mistura preparada na fazenda</t>
  </si>
  <si>
    <t xml:space="preserve">  - Vermífugos</t>
  </si>
  <si>
    <t xml:space="preserve">  - Carrapaticida</t>
  </si>
  <si>
    <t xml:space="preserve">  - Vacinas - aftosa</t>
  </si>
  <si>
    <t xml:space="preserve">                     - brucelose</t>
  </si>
  <si>
    <t xml:space="preserve">                     - manqueira</t>
  </si>
  <si>
    <t xml:space="preserve">                     - raiva</t>
  </si>
  <si>
    <t xml:space="preserve">                     - outras vacinas ________________</t>
  </si>
  <si>
    <t xml:space="preserve">  - Antibióticos</t>
  </si>
  <si>
    <t xml:space="preserve">  - Antitóxicos</t>
  </si>
  <si>
    <t>Material de desinfecção e limpeza (animal)</t>
  </si>
  <si>
    <t>Ordenha</t>
  </si>
  <si>
    <t xml:space="preserve">  - Detergentes</t>
  </si>
  <si>
    <t xml:space="preserve">  - Desinfetantes para tetos</t>
  </si>
  <si>
    <t xml:space="preserve">  - Materiais</t>
  </si>
  <si>
    <t xml:space="preserve">  - Outros</t>
  </si>
  <si>
    <t>Inseminação artificial</t>
  </si>
  <si>
    <t xml:space="preserve">  - Sêmen</t>
  </si>
  <si>
    <t xml:space="preserve">  - Nitrogênio líquido</t>
  </si>
  <si>
    <t xml:space="preserve">  - Luvas</t>
  </si>
  <si>
    <t xml:space="preserve">  - Inseminador contratado</t>
  </si>
  <si>
    <t>Indicadores Sanitários</t>
  </si>
  <si>
    <t>Número de Abortos</t>
  </si>
  <si>
    <t>Número de Natimortos</t>
  </si>
  <si>
    <t>Número de Retenção de Placenta</t>
  </si>
  <si>
    <t>Número de bezerros doentes</t>
  </si>
  <si>
    <t>Vacas com mastite clínica</t>
  </si>
  <si>
    <t>Número de Partos</t>
  </si>
  <si>
    <t>Inter. De Partos médio (meses)</t>
  </si>
  <si>
    <t>Persistência (período de lactação)</t>
  </si>
  <si>
    <t>Período de serviço (dias)</t>
  </si>
  <si>
    <t>Nº de cobertura ou Inseminação artificial/ prenhez</t>
  </si>
  <si>
    <t>% Vacas &gt; 90 dias vazias</t>
  </si>
  <si>
    <t>Quant</t>
  </si>
  <si>
    <t>V. Unit</t>
  </si>
  <si>
    <t>Total</t>
  </si>
  <si>
    <t xml:space="preserve">   - Formação de pastagens/Forragem de corte</t>
  </si>
  <si>
    <t xml:space="preserve">  - Benfeitorias/Instalações/Máquinas</t>
  </si>
  <si>
    <t xml:space="preserve">  - Aquisição de Animais</t>
  </si>
  <si>
    <t>Mão-de-obra familiar (não paga)</t>
  </si>
  <si>
    <t xml:space="preserve">  - Calcário</t>
  </si>
  <si>
    <t xml:space="preserve">  - Adubo químico</t>
  </si>
  <si>
    <t xml:space="preserve">  - Serviços mecânicos</t>
  </si>
  <si>
    <t xml:space="preserve">  - Serviços de tração animal</t>
  </si>
  <si>
    <t>TOTAL DE ENTRADAS</t>
  </si>
  <si>
    <t>Especificação</t>
  </si>
  <si>
    <t>Tamanho:</t>
  </si>
  <si>
    <t>Análises de Leite</t>
  </si>
  <si>
    <t>Total do Leite</t>
  </si>
  <si>
    <t xml:space="preserve">Média </t>
  </si>
  <si>
    <t>Total Litros/ Mês (L)</t>
  </si>
  <si>
    <t>Sanitários</t>
  </si>
  <si>
    <t>Produtivos</t>
  </si>
  <si>
    <t>Reprodutivos</t>
  </si>
  <si>
    <t>Categoria</t>
  </si>
  <si>
    <t>Compra</t>
  </si>
  <si>
    <t>Morte</t>
  </si>
  <si>
    <t>Venda</t>
  </si>
  <si>
    <t>Vaca Parida</t>
  </si>
  <si>
    <t>Vaca Seca</t>
  </si>
  <si>
    <t>Touro</t>
  </si>
  <si>
    <t>Macho 0 - 1 ano</t>
  </si>
  <si>
    <t>Equinos</t>
  </si>
  <si>
    <t>Muares</t>
  </si>
  <si>
    <t>Boi de Carro</t>
  </si>
  <si>
    <t>Total de vacas</t>
  </si>
  <si>
    <t>Vacas em lactação</t>
  </si>
  <si>
    <t>DADOS TÉCNICOS MENSAIS</t>
  </si>
  <si>
    <t>DADOS ECONÔMICOS MENSAIS</t>
  </si>
  <si>
    <t>Nome:</t>
  </si>
  <si>
    <t>Produção de leite/dia</t>
  </si>
  <si>
    <t>Preço do leite</t>
  </si>
  <si>
    <t>Empregados permanentes</t>
  </si>
  <si>
    <t>Familares que trabalham na propriedade</t>
  </si>
  <si>
    <t>Tabela 1.1 - Terras</t>
  </si>
  <si>
    <t>INÍCIO</t>
  </si>
  <si>
    <t>FINAL</t>
  </si>
  <si>
    <t>Área (ha)</t>
  </si>
  <si>
    <t>Valor da terra Nua</t>
  </si>
  <si>
    <t>Arren-</t>
  </si>
  <si>
    <t>Própria</t>
  </si>
  <si>
    <t>dada</t>
  </si>
  <si>
    <t>(R$/ha)</t>
  </si>
  <si>
    <t>Pastagem - Capim gordura</t>
  </si>
  <si>
    <t>Pastagem - moçamba</t>
  </si>
  <si>
    <t>Pastagem - braquiaria decumbens</t>
  </si>
  <si>
    <t>Pastagem - Tifton</t>
  </si>
  <si>
    <t>Capineira de Capim Elefante</t>
  </si>
  <si>
    <t>Cana-de-açúcar - irrigada</t>
  </si>
  <si>
    <r>
      <t xml:space="preserve">Caatinga </t>
    </r>
    <r>
      <rPr>
        <sz val="10"/>
        <color rgb="FFFF0000"/>
        <rFont val="Arial"/>
        <family val="2"/>
      </rPr>
      <t>reserva legal?</t>
    </r>
  </si>
  <si>
    <t>Pastagem nativa</t>
  </si>
  <si>
    <t>Milho para Silagem</t>
  </si>
  <si>
    <t>Palma</t>
  </si>
  <si>
    <t>Outros (2)</t>
  </si>
  <si>
    <t>TOTAL PARA PECUÁRIA</t>
  </si>
  <si>
    <t>ÁREA TOTAL UTILIZADA PELA PECUÁRIA</t>
  </si>
  <si>
    <t>VALOR DA TERRA NUA PRÓPRIA</t>
  </si>
  <si>
    <t>VALOR DA TERRA NUA PRÓPRIA MÉDIO</t>
  </si>
  <si>
    <t>CUSTO MÉDIO DE FORMAÇÃO</t>
  </si>
  <si>
    <t>Vida Útil</t>
  </si>
  <si>
    <t>Depreciação</t>
  </si>
  <si>
    <t>Forrageiras não Anuiais</t>
  </si>
  <si>
    <t>R$/Ha</t>
  </si>
  <si>
    <t>Ha</t>
  </si>
  <si>
    <t>R$/total</t>
  </si>
  <si>
    <t>Anos</t>
  </si>
  <si>
    <t>TOTAL</t>
  </si>
  <si>
    <t>Tabela 1.2 - Animais</t>
  </si>
  <si>
    <t>Início</t>
  </si>
  <si>
    <t>Nasci/to</t>
  </si>
  <si>
    <t>Final</t>
  </si>
  <si>
    <t>Valor Inicial</t>
  </si>
  <si>
    <t>Valor Final</t>
  </si>
  <si>
    <t>Vaca Falhada</t>
  </si>
  <si>
    <t>Femeas 0 - 1 ano</t>
  </si>
  <si>
    <t>Femeas 1 - 2 anos</t>
  </si>
  <si>
    <t>Femeas 2 - 3 anos</t>
  </si>
  <si>
    <t>TOTAL DE ANIMAIS DE PRODUÇÃO</t>
  </si>
  <si>
    <t>TOTAL DE ANIMAIS DE SERVIÇO</t>
  </si>
  <si>
    <t>TOTAL DE ANIMAIS</t>
  </si>
  <si>
    <t>TOTAL (Calculado)</t>
  </si>
  <si>
    <t>VALOR MÉDIO DO REBANHO DE PRODUÇÃO</t>
  </si>
  <si>
    <t>VARIAÇÃO DE INVENTÁRIO ANIMAL</t>
  </si>
  <si>
    <t>Valor Gasto com Compra de  Animais</t>
  </si>
  <si>
    <t>Dados Adicionais</t>
  </si>
  <si>
    <t>Capital Investido em Reprodutores</t>
  </si>
  <si>
    <t>Vida Útil dos Reprodutores (anos)</t>
  </si>
  <si>
    <t>Depreciação dos Reprodutores - R$/ano</t>
  </si>
  <si>
    <t>Capital Investido em Animais de Serviços</t>
  </si>
  <si>
    <t>Vida Útil dos Animais de Serviços (anos)</t>
  </si>
  <si>
    <t>Depreciação dos Animais de Serviço - R$/ano</t>
  </si>
  <si>
    <t>Tabela 1.3 - Benfeitorias utilizadas na pecuária de leite</t>
  </si>
  <si>
    <t>Valor do Preço de Novo</t>
  </si>
  <si>
    <t>Quantidade</t>
  </si>
  <si>
    <t>Valor  Unt. (R$)</t>
  </si>
  <si>
    <t>Valor  Total (R$)</t>
  </si>
  <si>
    <t>Vida Útil (anos)</t>
  </si>
  <si>
    <t>R$/ano</t>
  </si>
  <si>
    <t>Sala de ordenha</t>
  </si>
  <si>
    <t>Ud</t>
  </si>
  <si>
    <t>currais de manejo</t>
  </si>
  <si>
    <t>Casa sede</t>
  </si>
  <si>
    <t>Cercas convencional</t>
  </si>
  <si>
    <t>km</t>
  </si>
  <si>
    <t>Cercas elétricas</t>
  </si>
  <si>
    <t>Rede eletrica</t>
  </si>
  <si>
    <t>Açude</t>
  </si>
  <si>
    <t>suf</t>
  </si>
  <si>
    <t>bezerreiro coletivo</t>
  </si>
  <si>
    <t>bezerreiro individual</t>
  </si>
  <si>
    <t>Depósito de ração</t>
  </si>
  <si>
    <t>Tabela 1.4 - Máquinas utilizadas na pecuária de leite</t>
  </si>
  <si>
    <t>Picadeira de forragens</t>
  </si>
  <si>
    <t>ud</t>
  </si>
  <si>
    <t>Ordenhadeira mecanica</t>
  </si>
  <si>
    <t>Pulverizador</t>
  </si>
  <si>
    <t>Resfriador de leite</t>
  </si>
  <si>
    <t>Arado</t>
  </si>
  <si>
    <t>Grade</t>
  </si>
  <si>
    <r>
      <t xml:space="preserve">Carreta </t>
    </r>
    <r>
      <rPr>
        <sz val="10"/>
        <color rgb="FFFF0000"/>
        <rFont val="Arial"/>
        <family val="2"/>
      </rPr>
      <t>carroça</t>
    </r>
  </si>
  <si>
    <t>Moto</t>
  </si>
  <si>
    <t>Plantadeiara tração animal</t>
  </si>
  <si>
    <t>Adubadeira tração animal</t>
  </si>
  <si>
    <t>Plaina trazeira</t>
  </si>
  <si>
    <t>Batedor de cereais</t>
  </si>
  <si>
    <t>Misturador</t>
  </si>
  <si>
    <t>Desintegrador</t>
  </si>
  <si>
    <t>Arado tração animal</t>
  </si>
  <si>
    <t>Bomba de água</t>
  </si>
  <si>
    <t>Eletrificador</t>
  </si>
  <si>
    <t>Caixa de água</t>
  </si>
  <si>
    <t>Roçadeira</t>
  </si>
  <si>
    <t>Computador</t>
  </si>
  <si>
    <r>
      <t xml:space="preserve">Internet satelite </t>
    </r>
    <r>
      <rPr>
        <sz val="10"/>
        <color rgb="FFFF0000"/>
        <rFont val="Arial"/>
        <family val="2"/>
      </rPr>
      <t>balança</t>
    </r>
  </si>
  <si>
    <r>
      <t xml:space="preserve">Outros </t>
    </r>
    <r>
      <rPr>
        <sz val="10"/>
        <color rgb="FFFF0000"/>
        <rFont val="Arial"/>
        <family val="2"/>
      </rPr>
      <t>conj irrigação</t>
    </r>
  </si>
  <si>
    <t>INVENTÁRIO</t>
  </si>
  <si>
    <t>Indicadores Técnicos Mensais</t>
  </si>
  <si>
    <t>INDICADORES ECONÔMICOS MENSAIS</t>
  </si>
  <si>
    <t>Cidade</t>
  </si>
  <si>
    <t>MÉDIA Litros/dia (L)</t>
  </si>
  <si>
    <t xml:space="preserve">Produção mensal de leite </t>
  </si>
  <si>
    <t>TOTAL DE UA</t>
  </si>
  <si>
    <t>ESTIMATIVA DE CONSUMO DE VOLUMOSO</t>
  </si>
  <si>
    <t>TEORES DE MATÉRIA SECA</t>
  </si>
  <si>
    <t>Nome do Produtor:</t>
  </si>
  <si>
    <t>Silagem de milho</t>
  </si>
  <si>
    <t>Total de UA</t>
  </si>
  <si>
    <t>Silagem de sorgo</t>
  </si>
  <si>
    <t>Peso Vivo total rebanho (T)</t>
  </si>
  <si>
    <t>Silagem de milheto</t>
  </si>
  <si>
    <t>Qtde.</t>
  </si>
  <si>
    <t>Equiv.(UA)</t>
  </si>
  <si>
    <t>Total (UA)</t>
  </si>
  <si>
    <t xml:space="preserve">Exigência diária de MS (%) </t>
  </si>
  <si>
    <t>Feno (buffel)</t>
  </si>
  <si>
    <t>Bovinos</t>
  </si>
  <si>
    <t>Necessidade MS diária do rebanho (T)</t>
  </si>
  <si>
    <t>Feno (tifton 85)</t>
  </si>
  <si>
    <t>Touros</t>
  </si>
  <si>
    <t>% MS no alimento</t>
  </si>
  <si>
    <t>Vacas</t>
  </si>
  <si>
    <t>% Volumoso na ração</t>
  </si>
  <si>
    <t>Capim buffel</t>
  </si>
  <si>
    <t>Novilhas</t>
  </si>
  <si>
    <t>Necesidade diária de Volumoso (T)</t>
  </si>
  <si>
    <t>Garrotas(es)</t>
  </si>
  <si>
    <t>Necessidade diária de Volumoso (kg)</t>
  </si>
  <si>
    <t>Bezerras(os)</t>
  </si>
  <si>
    <t>Período utilização (dias)</t>
  </si>
  <si>
    <t>Animais de Serviços</t>
  </si>
  <si>
    <t>Nessidade para o período (T)</t>
  </si>
  <si>
    <t>TOTAL (UA)</t>
  </si>
  <si>
    <t>Nessidade para o período (Kg)</t>
  </si>
  <si>
    <t>Litros</t>
  </si>
  <si>
    <t>Litros por concentrado</t>
  </si>
  <si>
    <t>Total concentrado</t>
  </si>
  <si>
    <t>Produção total de leite</t>
  </si>
  <si>
    <t>Venda de Leite (L)</t>
  </si>
  <si>
    <t>Venda de Animais (R$)</t>
  </si>
  <si>
    <t>Queijo</t>
  </si>
  <si>
    <t>B - SAÍDA</t>
  </si>
  <si>
    <t>Mão-de-obra temporária</t>
  </si>
  <si>
    <t>Energia</t>
  </si>
  <si>
    <t>Combustível</t>
  </si>
  <si>
    <t>Leite (consumo produtor e funcionários)</t>
  </si>
  <si>
    <t>Despesas com volumoso</t>
  </si>
  <si>
    <t xml:space="preserve">  - Compra de volumoso (Kg)</t>
  </si>
  <si>
    <t xml:space="preserve">  - Adubo orgânico comprado</t>
  </si>
  <si>
    <t xml:space="preserve">  - Defensivo/veneno</t>
  </si>
  <si>
    <t xml:space="preserve">  - Frete</t>
  </si>
  <si>
    <t xml:space="preserve">  - Concentrado rebanho (produção)</t>
  </si>
  <si>
    <t xml:space="preserve">  - Concentrado rebalho (cria)</t>
  </si>
  <si>
    <t xml:space="preserve">  - Mata-bicheira</t>
  </si>
  <si>
    <t>Vitaminas e anti-inflamatório</t>
  </si>
  <si>
    <t xml:space="preserve">  - Pipetas/bainha</t>
  </si>
  <si>
    <t>DESPESAS DE INVESTIMENTOS</t>
  </si>
  <si>
    <t xml:space="preserve">  - Pagamento de empréstimos no mês</t>
  </si>
  <si>
    <t>Nº V. Lactação</t>
  </si>
  <si>
    <t>Nº V. Secas</t>
  </si>
  <si>
    <t>Nº de Novilhas</t>
  </si>
  <si>
    <t>Nº de Bezerras</t>
  </si>
  <si>
    <t>Nº de Bezerros</t>
  </si>
  <si>
    <t>Nº coberturas</t>
  </si>
  <si>
    <t>Nº partos</t>
  </si>
  <si>
    <t>Nº Animais comprados</t>
  </si>
  <si>
    <t>INDICADORES SANITÁRIOS</t>
  </si>
  <si>
    <t>Nº Abortos</t>
  </si>
  <si>
    <t>Nº Natimortos</t>
  </si>
  <si>
    <t>Nº Retenção de placenta</t>
  </si>
  <si>
    <t>Nº Morte de bezerros</t>
  </si>
  <si>
    <t>Nº Bezerros doentes</t>
  </si>
  <si>
    <t>Nº Morte de novilhas</t>
  </si>
  <si>
    <t>Nº Morte de vacas</t>
  </si>
  <si>
    <t>Nº Vacas com mastite clínica</t>
  </si>
  <si>
    <t>Média</t>
  </si>
  <si>
    <t>INDICADORES PRODUTIVOS</t>
  </si>
  <si>
    <r>
      <t xml:space="preserve">Custo operacional efetivo da atividade leiteira </t>
    </r>
    <r>
      <rPr>
        <sz val="11"/>
        <color rgb="FFFF0000"/>
        <rFont val="Calibri"/>
        <family val="2"/>
        <scheme val="minor"/>
      </rPr>
      <t>BCC</t>
    </r>
  </si>
  <si>
    <r>
      <t xml:space="preserve">Custo operacional total da atividade leiteira </t>
    </r>
    <r>
      <rPr>
        <sz val="11"/>
        <color rgb="FFFF0000"/>
        <rFont val="Calibri"/>
        <family val="2"/>
        <scheme val="minor"/>
      </rPr>
      <t>BCC</t>
    </r>
  </si>
  <si>
    <r>
      <t xml:space="preserve">Custo total da atividade leiteira </t>
    </r>
    <r>
      <rPr>
        <sz val="11"/>
        <color rgb="FFFF0000"/>
        <rFont val="Calibri"/>
        <family val="2"/>
        <scheme val="minor"/>
      </rPr>
      <t>BCC</t>
    </r>
  </si>
  <si>
    <t>DESPESAS DE EMPRÉSTIMOS</t>
  </si>
  <si>
    <t>COE DO LEITE</t>
  </si>
  <si>
    <t>RESUMO DO INVENTÁRIO</t>
  </si>
  <si>
    <t>Terras</t>
  </si>
  <si>
    <t>Forrageiras não anuais</t>
  </si>
  <si>
    <t>Animais</t>
  </si>
  <si>
    <t>Benfeitorias utilizadas para pecuária de leite</t>
  </si>
  <si>
    <t>Máquinas utilizadas na pecuária de leite</t>
  </si>
  <si>
    <t>RESUMO DA DEPRECIAÇÃO</t>
  </si>
  <si>
    <t>Animais de trabalho</t>
  </si>
  <si>
    <t>Reprodutores</t>
  </si>
  <si>
    <t>Benfeitorias utilizadas na pecuária de leite</t>
  </si>
  <si>
    <t>Custo de oportunidade</t>
  </si>
  <si>
    <t>COE do leite/preço do leite</t>
  </si>
  <si>
    <t>COT do leite/preço do leite</t>
  </si>
  <si>
    <t>CT do leite/preço do leite</t>
  </si>
  <si>
    <t>Margem bruta do leite</t>
  </si>
  <si>
    <t>Gasto com concentrado na ativ./renda bruta do leite</t>
  </si>
  <si>
    <t>Gasto com mão-de-obra na ativ./renda bruta do leite</t>
  </si>
  <si>
    <t>COE unitário do leite</t>
  </si>
  <si>
    <t>COE do leite</t>
  </si>
  <si>
    <t>COT do leite</t>
  </si>
  <si>
    <t>Margem bruta/Área</t>
  </si>
  <si>
    <t>Margem bruta/vaca em lactação</t>
  </si>
  <si>
    <t>Margem bruta/total de vacas</t>
  </si>
  <si>
    <t>Margem líquida unitária</t>
  </si>
  <si>
    <t xml:space="preserve">Margem líquida em equivalente litros de leite </t>
  </si>
  <si>
    <t>Margem líquida/Área</t>
  </si>
  <si>
    <t>Margem líquida do leite</t>
  </si>
  <si>
    <t>COT unitário do leite</t>
  </si>
  <si>
    <t>Preço médio mensal do leite</t>
  </si>
  <si>
    <t>Margem bruta unitária</t>
  </si>
  <si>
    <t>CT unitário do leite</t>
  </si>
  <si>
    <t>Lucro unitário</t>
  </si>
  <si>
    <r>
      <t xml:space="preserve">Renda do leite/Renda atividade x 100 </t>
    </r>
    <r>
      <rPr>
        <sz val="11"/>
        <color rgb="FFFF0000"/>
        <rFont val="Calibri"/>
        <family val="2"/>
        <scheme val="minor"/>
      </rPr>
      <t>BCC</t>
    </r>
  </si>
  <si>
    <t>Estoque do capital em (terra + benfeitorias + máquinas + animais + forrag não anuais)</t>
  </si>
  <si>
    <t>Bezerras</t>
  </si>
  <si>
    <t>Bezerros</t>
  </si>
  <si>
    <t>Vacas em lactação / total de vacas</t>
  </si>
  <si>
    <t>Rebanho total</t>
  </si>
  <si>
    <t>Leite/atividade leiteira</t>
  </si>
  <si>
    <t>Depreciação do leite</t>
  </si>
  <si>
    <t>Lucro em equivalente litros de leite</t>
  </si>
  <si>
    <t>Lucro total do leite</t>
  </si>
  <si>
    <t>Adriana Veloso da Silva</t>
  </si>
  <si>
    <t>São Bento do Una</t>
  </si>
  <si>
    <t>Pastagem - Pangolão</t>
  </si>
  <si>
    <t>Cocho</t>
  </si>
  <si>
    <t>Carroça</t>
  </si>
  <si>
    <t>Arreamento carroça</t>
  </si>
  <si>
    <t>Valor (R$/Cab)</t>
  </si>
  <si>
    <t>Área para pecuária leiteira (ha)</t>
  </si>
  <si>
    <t>Tamanho da propriedade (ha)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</si>
</sst>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"/>
    <numFmt numFmtId="165" formatCode="#,##0.0"/>
    <numFmt numFmtId="166" formatCode="_-* #,##0_-;\-* #,##0_-;_-* &quot;-&quot;??_-;_-@_-"/>
    <numFmt numFmtId="167" formatCode="_(* #,##0.00_);_(* \(#,##0.00\);_(* &quot;-&quot;??_);_(@_)"/>
    <numFmt numFmtId="168" formatCode="&quot;R$&quot;#,##0.00_);\(&quot;R$&quot;#,##0.00\)"/>
    <numFmt numFmtId="169" formatCode="_(* #,##0_);_(* \(#,##0\);_(* &quot;-&quot;??_);_(@_)"/>
    <numFmt numFmtId="170" formatCode="&quot;R$&quot;#,##0.0"/>
    <numFmt numFmtId="171" formatCode="&quot;R$&quot;#,##0.00"/>
    <numFmt numFmtId="172" formatCode="#,##0_);\(#,##0\)"/>
    <numFmt numFmtId="173" formatCode="0.000"/>
  </numFmts>
  <fonts count="30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rgb="FF0070C0"/>
      <name val="Calibri"/>
      <family val="2"/>
      <scheme val="minor"/>
    </font>
    <font>
      <sz val="18"/>
      <color rgb="FF0070C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8"/>
      <color theme="3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name val="Arial"/>
      <family val="2"/>
    </font>
    <font>
      <b/>
      <sz val="16"/>
      <name val="Calibri"/>
      <family val="2"/>
      <scheme val="minor"/>
    </font>
    <font>
      <b/>
      <sz val="18"/>
      <name val="Arial"/>
      <family val="2"/>
    </font>
    <font>
      <sz val="10"/>
      <color rgb="FFFF0000"/>
      <name val="Arial"/>
      <family val="2"/>
    </font>
    <font>
      <b/>
      <sz val="2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indexed="8"/>
      <name val="MS Sans Serif"/>
      <family val="2"/>
    </font>
    <font>
      <b/>
      <sz val="12"/>
      <color indexed="8"/>
      <name val="MS Sans Serif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9" fillId="0" borderId="0"/>
    <xf numFmtId="44" fontId="2" fillId="0" borderId="0" applyFont="0" applyFill="0" applyBorder="0" applyAlignment="0" applyProtection="0"/>
  </cellStyleXfs>
  <cellXfs count="469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2" borderId="0" xfId="0" applyFill="1" applyAlignment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4" fillId="2" borderId="31" xfId="0" applyFont="1" applyFill="1" applyBorder="1"/>
    <xf numFmtId="0" fontId="4" fillId="2" borderId="0" xfId="0" applyFont="1" applyFill="1" applyBorder="1" applyAlignment="1"/>
    <xf numFmtId="0" fontId="4" fillId="2" borderId="10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4" fillId="2" borderId="0" xfId="0" applyFont="1" applyFill="1" applyBorder="1"/>
    <xf numFmtId="0" fontId="0" fillId="2" borderId="11" xfId="0" applyFill="1" applyBorder="1"/>
    <xf numFmtId="0" fontId="0" fillId="2" borderId="24" xfId="0" applyFill="1" applyBorder="1"/>
    <xf numFmtId="0" fontId="0" fillId="2" borderId="36" xfId="0" applyFill="1" applyBorder="1"/>
    <xf numFmtId="0" fontId="0" fillId="2" borderId="30" xfId="0" applyFill="1" applyBorder="1"/>
    <xf numFmtId="0" fontId="0" fillId="2" borderId="37" xfId="0" applyFill="1" applyBorder="1"/>
    <xf numFmtId="0" fontId="0" fillId="2" borderId="38" xfId="0" applyFill="1" applyBorder="1"/>
    <xf numFmtId="0" fontId="0" fillId="2" borderId="39" xfId="0" applyFill="1" applyBorder="1"/>
    <xf numFmtId="0" fontId="4" fillId="2" borderId="2" xfId="0" applyFont="1" applyFill="1" applyBorder="1"/>
    <xf numFmtId="0" fontId="0" fillId="2" borderId="31" xfId="0" applyFill="1" applyBorder="1"/>
    <xf numFmtId="0" fontId="0" fillId="2" borderId="40" xfId="0" applyFill="1" applyBorder="1"/>
    <xf numFmtId="0" fontId="0" fillId="2" borderId="41" xfId="0" applyFill="1" applyBorder="1"/>
    <xf numFmtId="0" fontId="0" fillId="2" borderId="26" xfId="0" applyFill="1" applyBorder="1"/>
    <xf numFmtId="0" fontId="4" fillId="2" borderId="37" xfId="0" applyFont="1" applyFill="1" applyBorder="1" applyAlignment="1">
      <alignment horizontal="center"/>
    </xf>
    <xf numFmtId="0" fontId="4" fillId="2" borderId="38" xfId="0" applyFont="1" applyFill="1" applyBorder="1" applyAlignment="1">
      <alignment horizontal="center"/>
    </xf>
    <xf numFmtId="0" fontId="4" fillId="2" borderId="39" xfId="0" applyFont="1" applyFill="1" applyBorder="1" applyAlignment="1">
      <alignment horizontal="center"/>
    </xf>
    <xf numFmtId="0" fontId="0" fillId="2" borderId="25" xfId="0" applyFill="1" applyBorder="1"/>
    <xf numFmtId="0" fontId="4" fillId="2" borderId="19" xfId="0" applyFont="1" applyFill="1" applyBorder="1"/>
    <xf numFmtId="0" fontId="4" fillId="2" borderId="7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9" xfId="0" applyFont="1" applyFill="1" applyBorder="1"/>
    <xf numFmtId="0" fontId="4" fillId="2" borderId="16" xfId="0" applyFont="1" applyFill="1" applyBorder="1" applyAlignment="1">
      <alignment horizontal="center"/>
    </xf>
    <xf numFmtId="0" fontId="4" fillId="2" borderId="36" xfId="0" quotePrefix="1" applyFont="1" applyFill="1" applyBorder="1" applyAlignment="1">
      <alignment horizontal="center"/>
    </xf>
    <xf numFmtId="0" fontId="0" fillId="2" borderId="32" xfId="0" applyFill="1" applyBorder="1"/>
    <xf numFmtId="0" fontId="4" fillId="2" borderId="32" xfId="0" applyFont="1" applyFill="1" applyBorder="1" applyAlignment="1">
      <alignment horizontal="center"/>
    </xf>
    <xf numFmtId="0" fontId="4" fillId="2" borderId="33" xfId="0" applyFont="1" applyFill="1" applyBorder="1" applyAlignment="1">
      <alignment horizontal="center"/>
    </xf>
    <xf numFmtId="0" fontId="4" fillId="2" borderId="34" xfId="0" applyFont="1" applyFill="1" applyBorder="1" applyAlignment="1">
      <alignment horizontal="center"/>
    </xf>
    <xf numFmtId="0" fontId="8" fillId="2" borderId="19" xfId="0" applyFont="1" applyFill="1" applyBorder="1" applyAlignment="1" applyProtection="1">
      <alignment horizontal="center"/>
      <protection hidden="1"/>
    </xf>
    <xf numFmtId="0" fontId="8" fillId="2" borderId="27" xfId="0" applyFont="1" applyFill="1" applyBorder="1" applyAlignment="1" applyProtection="1">
      <alignment horizontal="center"/>
      <protection hidden="1"/>
    </xf>
    <xf numFmtId="49" fontId="8" fillId="2" borderId="8" xfId="0" quotePrefix="1" applyNumberFormat="1" applyFont="1" applyFill="1" applyBorder="1" applyAlignment="1">
      <alignment horizontal="center"/>
    </xf>
    <xf numFmtId="0" fontId="8" fillId="2" borderId="8" xfId="0" applyFont="1" applyFill="1" applyBorder="1" applyAlignment="1" applyProtection="1">
      <alignment horizontal="center"/>
      <protection hidden="1"/>
    </xf>
    <xf numFmtId="0" fontId="13" fillId="2" borderId="8" xfId="0" applyFont="1" applyFill="1" applyBorder="1"/>
    <xf numFmtId="0" fontId="0" fillId="2" borderId="8" xfId="0" applyFill="1" applyBorder="1"/>
    <xf numFmtId="0" fontId="0" fillId="2" borderId="17" xfId="0" applyFill="1" applyBorder="1"/>
    <xf numFmtId="0" fontId="0" fillId="2" borderId="24" xfId="0" applyFont="1" applyFill="1" applyBorder="1"/>
    <xf numFmtId="0" fontId="4" fillId="2" borderId="8" xfId="0" applyFont="1" applyFill="1" applyBorder="1"/>
    <xf numFmtId="0" fontId="10" fillId="2" borderId="0" xfId="0" applyFont="1" applyFill="1"/>
    <xf numFmtId="0" fontId="12" fillId="2" borderId="48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0" fillId="2" borderId="9" xfId="0" applyFill="1" applyBorder="1"/>
    <xf numFmtId="0" fontId="0" fillId="2" borderId="50" xfId="0" applyFill="1" applyBorder="1"/>
    <xf numFmtId="0" fontId="12" fillId="2" borderId="50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1" fillId="2" borderId="8" xfId="0" applyFont="1" applyFill="1" applyBorder="1"/>
    <xf numFmtId="2" fontId="11" fillId="2" borderId="8" xfId="0" applyNumberFormat="1" applyFont="1" applyFill="1" applyBorder="1"/>
    <xf numFmtId="2" fontId="11" fillId="2" borderId="8" xfId="0" applyNumberFormat="1" applyFont="1" applyFill="1" applyBorder="1" applyAlignment="1">
      <alignment horizontal="center"/>
    </xf>
    <xf numFmtId="43" fontId="11" fillId="2" borderId="8" xfId="1" applyFont="1" applyFill="1" applyBorder="1"/>
    <xf numFmtId="166" fontId="11" fillId="2" borderId="8" xfId="1" applyNumberFormat="1" applyFont="1" applyFill="1" applyBorder="1"/>
    <xf numFmtId="0" fontId="0" fillId="4" borderId="43" xfId="0" applyFill="1" applyBorder="1"/>
    <xf numFmtId="0" fontId="0" fillId="4" borderId="1" xfId="0" applyFill="1" applyBorder="1"/>
    <xf numFmtId="0" fontId="0" fillId="4" borderId="2" xfId="0" applyFill="1" applyBorder="1"/>
    <xf numFmtId="0" fontId="0" fillId="6" borderId="12" xfId="0" applyFill="1" applyBorder="1" applyAlignment="1" applyProtection="1">
      <alignment horizontal="center"/>
      <protection hidden="1"/>
    </xf>
    <xf numFmtId="43" fontId="0" fillId="6" borderId="12" xfId="1" applyFont="1" applyFill="1" applyBorder="1" applyAlignment="1" applyProtection="1">
      <alignment horizontal="center"/>
      <protection hidden="1"/>
    </xf>
    <xf numFmtId="0" fontId="0" fillId="6" borderId="24" xfId="0" applyFill="1" applyBorder="1" applyAlignment="1" applyProtection="1">
      <alignment horizontal="center"/>
      <protection hidden="1"/>
    </xf>
    <xf numFmtId="43" fontId="0" fillId="6" borderId="24" xfId="1" applyFont="1" applyFill="1" applyBorder="1" applyAlignment="1" applyProtection="1">
      <alignment horizontal="center"/>
      <protection hidden="1"/>
    </xf>
    <xf numFmtId="0" fontId="0" fillId="6" borderId="17" xfId="0" applyFill="1" applyBorder="1" applyAlignment="1" applyProtection="1">
      <alignment horizontal="center"/>
      <protection hidden="1"/>
    </xf>
    <xf numFmtId="43" fontId="0" fillId="6" borderId="17" xfId="1" applyFont="1" applyFill="1" applyBorder="1" applyAlignment="1" applyProtection="1">
      <alignment horizontal="center"/>
      <protection hidden="1"/>
    </xf>
    <xf numFmtId="0" fontId="9" fillId="5" borderId="8" xfId="0" applyFont="1" applyFill="1" applyBorder="1" applyAlignment="1" applyProtection="1">
      <alignment horizontal="center"/>
      <protection locked="0"/>
    </xf>
    <xf numFmtId="43" fontId="9" fillId="5" borderId="8" xfId="1" applyFont="1" applyFill="1" applyBorder="1" applyAlignment="1" applyProtection="1">
      <alignment horizontal="center"/>
      <protection locked="0"/>
    </xf>
    <xf numFmtId="0" fontId="20" fillId="5" borderId="25" xfId="0" quotePrefix="1" applyFont="1" applyFill="1" applyBorder="1" applyAlignment="1" applyProtection="1">
      <alignment horizontal="left"/>
      <protection locked="0"/>
    </xf>
    <xf numFmtId="0" fontId="0" fillId="5" borderId="25" xfId="0" quotePrefix="1" applyFill="1" applyBorder="1" applyAlignment="1" applyProtection="1">
      <alignment horizontal="left"/>
      <protection locked="0"/>
    </xf>
    <xf numFmtId="0" fontId="9" fillId="5" borderId="12" xfId="0" applyFont="1" applyFill="1" applyBorder="1" applyAlignment="1" applyProtection="1">
      <alignment horizontal="center"/>
      <protection locked="0"/>
    </xf>
    <xf numFmtId="43" fontId="9" fillId="5" borderId="54" xfId="1" applyFont="1" applyFill="1" applyBorder="1" applyAlignment="1" applyProtection="1">
      <alignment horizontal="center"/>
      <protection locked="0"/>
    </xf>
    <xf numFmtId="0" fontId="9" fillId="5" borderId="25" xfId="0" applyFont="1" applyFill="1" applyBorder="1" applyProtection="1">
      <protection locked="0"/>
    </xf>
    <xf numFmtId="0" fontId="0" fillId="5" borderId="25" xfId="0" applyFill="1" applyBorder="1" applyProtection="1">
      <protection locked="0"/>
    </xf>
    <xf numFmtId="0" fontId="9" fillId="5" borderId="54" xfId="0" applyFont="1" applyFill="1" applyBorder="1" applyAlignment="1" applyProtection="1">
      <alignment horizontal="center"/>
      <protection locked="0"/>
    </xf>
    <xf numFmtId="0" fontId="8" fillId="6" borderId="25" xfId="0" applyFont="1" applyFill="1" applyBorder="1" applyAlignment="1" applyProtection="1">
      <protection hidden="1"/>
    </xf>
    <xf numFmtId="0" fontId="8" fillId="6" borderId="12" xfId="0" applyFont="1" applyFill="1" applyBorder="1" applyAlignment="1" applyProtection="1">
      <alignment horizontal="center"/>
      <protection hidden="1"/>
    </xf>
    <xf numFmtId="0" fontId="8" fillId="6" borderId="25" xfId="0" applyFont="1" applyFill="1" applyBorder="1" applyAlignment="1" applyProtection="1">
      <alignment horizontal="center"/>
      <protection hidden="1"/>
    </xf>
    <xf numFmtId="0" fontId="8" fillId="6" borderId="0" xfId="0" applyFont="1" applyFill="1" applyBorder="1" applyAlignment="1" applyProtection="1">
      <protection hidden="1"/>
    </xf>
    <xf numFmtId="0" fontId="8" fillId="6" borderId="21" xfId="0" applyFont="1" applyFill="1" applyBorder="1" applyAlignment="1" applyProtection="1">
      <protection hidden="1"/>
    </xf>
    <xf numFmtId="0" fontId="8" fillId="6" borderId="27" xfId="0" applyFont="1" applyFill="1" applyBorder="1" applyAlignment="1" applyProtection="1">
      <alignment horizontal="left"/>
      <protection hidden="1"/>
    </xf>
    <xf numFmtId="0" fontId="0" fillId="5" borderId="0" xfId="0" applyFill="1"/>
    <xf numFmtId="0" fontId="8" fillId="6" borderId="25" xfId="0" applyFont="1" applyFill="1" applyBorder="1" applyAlignment="1">
      <alignment horizontal="center"/>
    </xf>
    <xf numFmtId="0" fontId="8" fillId="6" borderId="55" xfId="0" applyFont="1" applyFill="1" applyBorder="1" applyAlignment="1">
      <alignment horizontal="center"/>
    </xf>
    <xf numFmtId="0" fontId="8" fillId="6" borderId="0" xfId="0" applyFont="1" applyFill="1" applyBorder="1" applyAlignment="1">
      <alignment horizontal="center"/>
    </xf>
    <xf numFmtId="0" fontId="8" fillId="6" borderId="21" xfId="0" applyFont="1" applyFill="1" applyBorder="1" applyAlignment="1">
      <alignment horizontal="center"/>
    </xf>
    <xf numFmtId="0" fontId="8" fillId="6" borderId="28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165" fontId="0" fillId="6" borderId="0" xfId="0" applyNumberFormat="1" applyFill="1" applyAlignment="1">
      <alignment horizontal="center"/>
    </xf>
    <xf numFmtId="0" fontId="8" fillId="6" borderId="3" xfId="0" applyFont="1" applyFill="1" applyBorder="1" applyAlignment="1">
      <alignment horizontal="center"/>
    </xf>
    <xf numFmtId="165" fontId="8" fillId="6" borderId="3" xfId="0" applyNumberFormat="1" applyFont="1" applyFill="1" applyBorder="1" applyAlignment="1">
      <alignment horizontal="center"/>
    </xf>
    <xf numFmtId="0" fontId="8" fillId="6" borderId="8" xfId="0" applyFont="1" applyFill="1" applyBorder="1" applyAlignment="1" applyProtection="1">
      <alignment horizontal="center"/>
      <protection hidden="1"/>
    </xf>
    <xf numFmtId="0" fontId="8" fillId="6" borderId="27" xfId="0" applyFont="1" applyFill="1" applyBorder="1" applyAlignment="1">
      <alignment horizontal="center"/>
    </xf>
    <xf numFmtId="167" fontId="0" fillId="6" borderId="0" xfId="0" applyNumberFormat="1" applyFill="1" applyBorder="1"/>
    <xf numFmtId="167" fontId="0" fillId="6" borderId="56" xfId="0" applyNumberFormat="1" applyFill="1" applyBorder="1"/>
    <xf numFmtId="0" fontId="0" fillId="5" borderId="24" xfId="0" applyFill="1" applyBorder="1" applyAlignment="1" applyProtection="1">
      <alignment horizontal="center"/>
      <protection locked="0"/>
    </xf>
    <xf numFmtId="0" fontId="8" fillId="6" borderId="8" xfId="0" applyFont="1" applyFill="1" applyBorder="1" applyAlignment="1" applyProtection="1">
      <alignment horizontal="center"/>
      <protection locked="0"/>
    </xf>
    <xf numFmtId="167" fontId="8" fillId="6" borderId="27" xfId="0" applyNumberFormat="1" applyFont="1" applyFill="1" applyBorder="1"/>
    <xf numFmtId="167" fontId="8" fillId="6" borderId="16" xfId="0" applyNumberFormat="1" applyFont="1" applyFill="1" applyBorder="1"/>
    <xf numFmtId="0" fontId="0" fillId="5" borderId="0" xfId="0" applyFill="1" applyBorder="1" applyAlignment="1" applyProtection="1">
      <alignment horizontal="left"/>
      <protection hidden="1"/>
    </xf>
    <xf numFmtId="1" fontId="0" fillId="6" borderId="8" xfId="1" applyNumberFormat="1" applyFont="1" applyFill="1" applyBorder="1" applyAlignment="1" applyProtection="1">
      <alignment horizontal="center"/>
      <protection hidden="1"/>
    </xf>
    <xf numFmtId="0" fontId="0" fillId="6" borderId="27" xfId="0" applyFill="1" applyBorder="1" applyAlignment="1">
      <alignment horizontal="center"/>
    </xf>
    <xf numFmtId="1" fontId="8" fillId="6" borderId="8" xfId="1" applyNumberFormat="1" applyFont="1" applyFill="1" applyBorder="1" applyAlignment="1" applyProtection="1">
      <alignment horizontal="center"/>
      <protection hidden="1"/>
    </xf>
    <xf numFmtId="1" fontId="0" fillId="6" borderId="27" xfId="0" applyNumberFormat="1" applyFill="1" applyBorder="1" applyAlignment="1">
      <alignment horizontal="center"/>
    </xf>
    <xf numFmtId="0" fontId="8" fillId="6" borderId="19" xfId="0" applyFont="1" applyFill="1" applyBorder="1"/>
    <xf numFmtId="170" fontId="8" fillId="6" borderId="27" xfId="0" applyNumberFormat="1" applyFont="1" applyFill="1" applyBorder="1" applyAlignment="1">
      <alignment horizontal="center"/>
    </xf>
    <xf numFmtId="0" fontId="8" fillId="6" borderId="0" xfId="0" applyFont="1" applyFill="1" applyAlignment="1"/>
    <xf numFmtId="171" fontId="8" fillId="6" borderId="0" xfId="0" applyNumberFormat="1" applyFont="1" applyFill="1" applyAlignment="1">
      <alignment horizontal="center"/>
    </xf>
    <xf numFmtId="0" fontId="8" fillId="5" borderId="19" xfId="0" applyFont="1" applyFill="1" applyBorder="1"/>
    <xf numFmtId="0" fontId="8" fillId="5" borderId="16" xfId="0" applyFont="1" applyFill="1" applyBorder="1"/>
    <xf numFmtId="0" fontId="8" fillId="6" borderId="25" xfId="0" applyFont="1" applyFill="1" applyBorder="1"/>
    <xf numFmtId="0" fontId="0" fillId="6" borderId="54" xfId="0" applyFill="1" applyBorder="1"/>
    <xf numFmtId="0" fontId="0" fillId="6" borderId="26" xfId="0" applyFill="1" applyBorder="1"/>
    <xf numFmtId="167" fontId="0" fillId="6" borderId="56" xfId="0" applyNumberFormat="1" applyFill="1" applyBorder="1" applyAlignment="1"/>
    <xf numFmtId="0" fontId="0" fillId="5" borderId="26" xfId="0" applyFill="1" applyBorder="1"/>
    <xf numFmtId="2" fontId="0" fillId="6" borderId="56" xfId="0" applyNumberFormat="1" applyFill="1" applyBorder="1" applyAlignment="1">
      <alignment horizontal="center"/>
    </xf>
    <xf numFmtId="0" fontId="0" fillId="5" borderId="56" xfId="0" applyFill="1" applyBorder="1"/>
    <xf numFmtId="4" fontId="0" fillId="6" borderId="56" xfId="0" applyNumberFormat="1" applyFill="1" applyBorder="1" applyAlignment="1">
      <alignment horizontal="center"/>
    </xf>
    <xf numFmtId="0" fontId="0" fillId="6" borderId="21" xfId="0" applyFill="1" applyBorder="1"/>
    <xf numFmtId="2" fontId="0" fillId="6" borderId="57" xfId="0" applyNumberFormat="1" applyFill="1" applyBorder="1" applyAlignment="1">
      <alignment horizontal="center"/>
    </xf>
    <xf numFmtId="0" fontId="8" fillId="0" borderId="0" xfId="0" applyFo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right"/>
      <protection hidden="1"/>
    </xf>
    <xf numFmtId="43" fontId="8" fillId="0" borderId="0" xfId="1" applyFont="1" applyBorder="1" applyProtection="1">
      <protection hidden="1"/>
    </xf>
    <xf numFmtId="43" fontId="8" fillId="6" borderId="8" xfId="1" applyFont="1" applyFill="1" applyBorder="1" applyAlignment="1" applyProtection="1">
      <alignment horizontal="center"/>
      <protection hidden="1"/>
    </xf>
    <xf numFmtId="0" fontId="8" fillId="6" borderId="8" xfId="0" applyFont="1" applyFill="1" applyBorder="1" applyAlignment="1" applyProtection="1">
      <alignment horizontal="right"/>
      <protection hidden="1"/>
    </xf>
    <xf numFmtId="0" fontId="9" fillId="6" borderId="8" xfId="0" applyFont="1" applyFill="1" applyBorder="1" applyAlignment="1" applyProtection="1">
      <alignment horizontal="left"/>
      <protection hidden="1"/>
    </xf>
    <xf numFmtId="0" fontId="9" fillId="6" borderId="8" xfId="0" applyFont="1" applyFill="1" applyBorder="1" applyAlignment="1" applyProtection="1">
      <alignment horizontal="center"/>
      <protection hidden="1"/>
    </xf>
    <xf numFmtId="165" fontId="0" fillId="0" borderId="8" xfId="0" applyNumberFormat="1" applyBorder="1" applyAlignment="1" applyProtection="1">
      <alignment horizontal="center"/>
      <protection locked="0"/>
    </xf>
    <xf numFmtId="4" fontId="0" fillId="0" borderId="8" xfId="1" applyNumberFormat="1" applyFont="1" applyBorder="1" applyAlignment="1" applyProtection="1">
      <alignment horizontal="center"/>
      <protection locked="0"/>
    </xf>
    <xf numFmtId="4" fontId="0" fillId="6" borderId="8" xfId="1" applyNumberFormat="1" applyFont="1" applyFill="1" applyBorder="1" applyAlignment="1" applyProtection="1">
      <alignment horizontal="center"/>
      <protection locked="0"/>
    </xf>
    <xf numFmtId="4" fontId="0" fillId="8" borderId="8" xfId="0" applyNumberFormat="1" applyFill="1" applyBorder="1" applyAlignment="1" applyProtection="1">
      <alignment horizontal="center"/>
      <protection hidden="1"/>
    </xf>
    <xf numFmtId="0" fontId="9" fillId="6" borderId="8" xfId="0" applyFont="1" applyFill="1" applyBorder="1" applyProtection="1">
      <protection hidden="1"/>
    </xf>
    <xf numFmtId="0" fontId="0" fillId="6" borderId="8" xfId="0" applyFill="1" applyBorder="1" applyProtection="1">
      <protection hidden="1"/>
    </xf>
    <xf numFmtId="0" fontId="20" fillId="6" borderId="8" xfId="0" applyFont="1" applyFill="1" applyBorder="1" applyProtection="1">
      <protection hidden="1"/>
    </xf>
    <xf numFmtId="0" fontId="9" fillId="0" borderId="8" xfId="0" applyFont="1" applyBorder="1" applyAlignment="1" applyProtection="1">
      <alignment horizontal="center"/>
      <protection locked="0"/>
    </xf>
    <xf numFmtId="0" fontId="0" fillId="6" borderId="8" xfId="0" applyFill="1" applyBorder="1" applyProtection="1">
      <protection locked="0"/>
    </xf>
    <xf numFmtId="0" fontId="0" fillId="0" borderId="8" xfId="0" applyBorder="1" applyProtection="1">
      <protection locked="0"/>
    </xf>
    <xf numFmtId="0" fontId="0" fillId="0" borderId="12" xfId="0" applyBorder="1" applyProtection="1">
      <protection locked="0"/>
    </xf>
    <xf numFmtId="0" fontId="9" fillId="0" borderId="12" xfId="0" applyFont="1" applyBorder="1" applyAlignment="1" applyProtection="1">
      <alignment horizontal="center"/>
      <protection locked="0"/>
    </xf>
    <xf numFmtId="171" fontId="0" fillId="8" borderId="8" xfId="0" applyNumberFormat="1" applyFill="1" applyBorder="1" applyAlignment="1" applyProtection="1">
      <alignment horizontal="center"/>
      <protection hidden="1"/>
    </xf>
    <xf numFmtId="4" fontId="8" fillId="6" borderId="27" xfId="0" applyNumberFormat="1" applyFont="1" applyFill="1" applyBorder="1" applyAlignment="1" applyProtection="1">
      <alignment horizontal="center"/>
      <protection hidden="1"/>
    </xf>
    <xf numFmtId="4" fontId="8" fillId="6" borderId="16" xfId="1" applyNumberFormat="1" applyFont="1" applyFill="1" applyBorder="1" applyAlignment="1" applyProtection="1">
      <alignment horizontal="center"/>
      <protection hidden="1"/>
    </xf>
    <xf numFmtId="4" fontId="8" fillId="6" borderId="27" xfId="1" applyNumberFormat="1" applyFont="1" applyFill="1" applyBorder="1" applyAlignment="1" applyProtection="1">
      <alignment horizontal="center"/>
      <protection hidden="1"/>
    </xf>
    <xf numFmtId="4" fontId="8" fillId="6" borderId="8" xfId="0" applyNumberFormat="1" applyFont="1" applyFill="1" applyBorder="1" applyAlignment="1" applyProtection="1">
      <alignment horizontal="center"/>
      <protection hidden="1"/>
    </xf>
    <xf numFmtId="43" fontId="0" fillId="0" borderId="0" xfId="1" applyFont="1" applyBorder="1" applyProtection="1">
      <protection hidden="1"/>
    </xf>
    <xf numFmtId="172" fontId="0" fillId="0" borderId="8" xfId="1" applyNumberFormat="1" applyFont="1" applyBorder="1" applyAlignment="1" applyProtection="1">
      <alignment horizontal="center"/>
      <protection locked="0"/>
    </xf>
    <xf numFmtId="39" fontId="0" fillId="0" borderId="8" xfId="1" applyNumberFormat="1" applyFont="1" applyBorder="1" applyAlignment="1" applyProtection="1">
      <alignment horizontal="center"/>
      <protection locked="0"/>
    </xf>
    <xf numFmtId="39" fontId="0" fillId="6" borderId="8" xfId="1" applyNumberFormat="1" applyFont="1" applyFill="1" applyBorder="1" applyAlignment="1" applyProtection="1">
      <alignment horizontal="center"/>
      <protection locked="0"/>
    </xf>
    <xf numFmtId="0" fontId="8" fillId="6" borderId="27" xfId="0" applyFont="1" applyFill="1" applyBorder="1" applyAlignment="1" applyProtection="1">
      <alignment horizontal="right"/>
      <protection hidden="1"/>
    </xf>
    <xf numFmtId="43" fontId="8" fillId="6" borderId="16" xfId="1" applyFont="1" applyFill="1" applyBorder="1" applyAlignment="1" applyProtection="1">
      <protection hidden="1"/>
    </xf>
    <xf numFmtId="39" fontId="8" fillId="6" borderId="16" xfId="1" applyNumberFormat="1" applyFont="1" applyFill="1" applyBorder="1" applyAlignment="1" applyProtection="1">
      <alignment horizontal="center"/>
      <protection hidden="1"/>
    </xf>
    <xf numFmtId="43" fontId="8" fillId="6" borderId="27" xfId="1" applyFont="1" applyFill="1" applyBorder="1" applyAlignment="1" applyProtection="1">
      <protection hidden="1"/>
    </xf>
    <xf numFmtId="39" fontId="8" fillId="6" borderId="8" xfId="1" applyNumberFormat="1" applyFont="1" applyFill="1" applyBorder="1" applyAlignment="1" applyProtection="1">
      <alignment horizontal="center"/>
      <protection hidden="1"/>
    </xf>
    <xf numFmtId="0" fontId="19" fillId="2" borderId="0" xfId="0" applyFont="1" applyFill="1" applyProtection="1">
      <protection hidden="1"/>
    </xf>
    <xf numFmtId="0" fontId="0" fillId="2" borderId="28" xfId="0" applyFill="1" applyBorder="1" applyAlignment="1" applyProtection="1">
      <alignment horizontal="center"/>
      <protection locked="0"/>
    </xf>
    <xf numFmtId="0" fontId="0" fillId="2" borderId="0" xfId="0" applyFill="1" applyProtection="1">
      <protection hidden="1"/>
    </xf>
    <xf numFmtId="43" fontId="0" fillId="2" borderId="0" xfId="1" applyFont="1" applyFill="1" applyProtection="1">
      <protection hidden="1"/>
    </xf>
    <xf numFmtId="0" fontId="8" fillId="2" borderId="28" xfId="0" applyFont="1" applyFill="1" applyBorder="1" applyAlignment="1" applyProtection="1">
      <alignment horizontal="center"/>
      <protection hidden="1"/>
    </xf>
    <xf numFmtId="0" fontId="0" fillId="2" borderId="28" xfId="0" applyFill="1" applyBorder="1" applyAlignment="1"/>
    <xf numFmtId="0" fontId="9" fillId="2" borderId="26" xfId="0" applyFont="1" applyFill="1" applyBorder="1"/>
    <xf numFmtId="168" fontId="9" fillId="2" borderId="26" xfId="0" applyNumberFormat="1" applyFont="1" applyFill="1" applyBorder="1" applyProtection="1">
      <protection hidden="1"/>
    </xf>
    <xf numFmtId="43" fontId="9" fillId="2" borderId="26" xfId="1" applyFon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0" fillId="2" borderId="0" xfId="0" applyFill="1" applyBorder="1" applyProtection="1">
      <protection locked="0"/>
    </xf>
    <xf numFmtId="0" fontId="0" fillId="2" borderId="0" xfId="0" applyFill="1" applyBorder="1" applyAlignment="1" applyProtection="1">
      <protection locked="0"/>
    </xf>
    <xf numFmtId="43" fontId="0" fillId="2" borderId="0" xfId="1" applyFont="1" applyFill="1" applyBorder="1" applyProtection="1">
      <protection locked="0"/>
    </xf>
    <xf numFmtId="0" fontId="0" fillId="2" borderId="28" xfId="0" applyFill="1" applyBorder="1"/>
    <xf numFmtId="0" fontId="0" fillId="2" borderId="0" xfId="0" applyFill="1" applyBorder="1" applyAlignment="1" applyProtection="1">
      <alignment horizontal="right"/>
      <protection hidden="1"/>
    </xf>
    <xf numFmtId="0" fontId="8" fillId="2" borderId="0" xfId="0" applyFont="1" applyFill="1" applyProtection="1">
      <protection hidden="1"/>
    </xf>
    <xf numFmtId="0" fontId="0" fillId="2" borderId="0" xfId="0" applyFill="1" applyAlignment="1" applyProtection="1">
      <alignment horizontal="center"/>
      <protection hidden="1"/>
    </xf>
    <xf numFmtId="0" fontId="8" fillId="2" borderId="0" xfId="0" applyFont="1" applyFill="1" applyAlignment="1" applyProtection="1">
      <alignment horizontal="center"/>
      <protection hidden="1"/>
    </xf>
    <xf numFmtId="0" fontId="8" fillId="2" borderId="0" xfId="0" applyFont="1" applyFill="1" applyBorder="1" applyAlignment="1" applyProtection="1">
      <alignment horizontal="right"/>
      <protection hidden="1"/>
    </xf>
    <xf numFmtId="43" fontId="8" fillId="2" borderId="0" xfId="1" applyFont="1" applyFill="1" applyBorder="1" applyProtection="1">
      <protection hidden="1"/>
    </xf>
    <xf numFmtId="43" fontId="8" fillId="2" borderId="8" xfId="1" applyFont="1" applyFill="1" applyBorder="1" applyAlignment="1" applyProtection="1">
      <alignment horizontal="center"/>
      <protection hidden="1"/>
    </xf>
    <xf numFmtId="0" fontId="3" fillId="2" borderId="0" xfId="0" applyFont="1" applyFill="1"/>
    <xf numFmtId="0" fontId="3" fillId="2" borderId="0" xfId="0" applyFont="1" applyFill="1" applyBorder="1"/>
    <xf numFmtId="0" fontId="0" fillId="2" borderId="0" xfId="0" applyFont="1" applyFill="1" applyBorder="1"/>
    <xf numFmtId="0" fontId="0" fillId="2" borderId="0" xfId="0" applyFill="1" applyBorder="1" applyAlignment="1"/>
    <xf numFmtId="0" fontId="0" fillId="2" borderId="0" xfId="0" applyFont="1" applyFill="1" applyBorder="1" applyAlignment="1"/>
    <xf numFmtId="4" fontId="0" fillId="4" borderId="50" xfId="0" applyNumberFormat="1" applyFill="1" applyBorder="1" applyAlignment="1" applyProtection="1">
      <alignment horizontal="center"/>
    </xf>
    <xf numFmtId="0" fontId="25" fillId="6" borderId="26" xfId="3" applyFont="1" applyFill="1" applyBorder="1" applyAlignment="1" applyProtection="1">
      <alignment vertical="center"/>
    </xf>
    <xf numFmtId="0" fontId="25" fillId="6" borderId="0" xfId="3" applyFont="1" applyFill="1" applyBorder="1" applyAlignment="1" applyProtection="1">
      <alignment vertical="center"/>
    </xf>
    <xf numFmtId="0" fontId="25" fillId="6" borderId="56" xfId="3" applyFont="1" applyFill="1" applyBorder="1" applyAlignment="1" applyProtection="1">
      <alignment vertical="center"/>
    </xf>
    <xf numFmtId="0" fontId="25" fillId="4" borderId="26" xfId="3" applyFont="1" applyFill="1" applyBorder="1" applyAlignment="1" applyProtection="1">
      <alignment vertical="center"/>
    </xf>
    <xf numFmtId="2" fontId="26" fillId="4" borderId="56" xfId="3" applyNumberFormat="1" applyFont="1" applyFill="1" applyBorder="1" applyAlignment="1" applyProtection="1">
      <alignment horizontal="center" vertical="center"/>
    </xf>
    <xf numFmtId="0" fontId="26" fillId="4" borderId="26" xfId="3" applyFont="1" applyFill="1" applyBorder="1" applyAlignment="1" applyProtection="1">
      <alignment horizontal="left" vertical="center"/>
    </xf>
    <xf numFmtId="4" fontId="25" fillId="4" borderId="56" xfId="3" applyNumberFormat="1" applyFont="1" applyFill="1" applyBorder="1" applyAlignment="1" applyProtection="1">
      <alignment vertical="center"/>
      <protection locked="0"/>
    </xf>
    <xf numFmtId="0" fontId="0" fillId="4" borderId="26" xfId="0" applyFill="1" applyBorder="1"/>
    <xf numFmtId="0" fontId="0" fillId="4" borderId="56" xfId="0" applyFill="1" applyBorder="1" applyAlignment="1">
      <alignment horizontal="center"/>
    </xf>
    <xf numFmtId="0" fontId="26" fillId="4" borderId="26" xfId="3" applyFont="1" applyFill="1" applyBorder="1" applyAlignment="1" applyProtection="1">
      <alignment vertical="center"/>
    </xf>
    <xf numFmtId="0" fontId="25" fillId="4" borderId="56" xfId="3" applyFont="1" applyFill="1" applyBorder="1" applyAlignment="1" applyProtection="1">
      <alignment vertical="center"/>
    </xf>
    <xf numFmtId="0" fontId="26" fillId="6" borderId="8" xfId="3" applyFont="1" applyFill="1" applyBorder="1" applyAlignment="1" applyProtection="1">
      <alignment horizontal="center" vertical="center"/>
    </xf>
    <xf numFmtId="10" fontId="26" fillId="3" borderId="56" xfId="3" applyNumberFormat="1" applyFont="1" applyFill="1" applyBorder="1" applyAlignment="1" applyProtection="1">
      <alignment horizontal="center" vertical="center"/>
      <protection locked="0"/>
    </xf>
    <xf numFmtId="0" fontId="25" fillId="6" borderId="24" xfId="3" applyFont="1" applyFill="1" applyBorder="1" applyAlignment="1" applyProtection="1">
      <alignment vertical="center"/>
    </xf>
    <xf numFmtId="0" fontId="26" fillId="6" borderId="24" xfId="3" applyFont="1" applyFill="1" applyBorder="1" applyAlignment="1" applyProtection="1">
      <alignment horizontal="left" vertical="center"/>
    </xf>
    <xf numFmtId="2" fontId="26" fillId="6" borderId="24" xfId="3" applyNumberFormat="1" applyFont="1" applyFill="1" applyBorder="1" applyAlignment="1" applyProtection="1">
      <alignment horizontal="right" vertical="center"/>
    </xf>
    <xf numFmtId="173" fontId="25" fillId="4" borderId="56" xfId="3" applyNumberFormat="1" applyFont="1" applyFill="1" applyBorder="1" applyAlignment="1" applyProtection="1">
      <alignment horizontal="center" vertical="center"/>
    </xf>
    <xf numFmtId="0" fontId="25" fillId="5" borderId="24" xfId="3" applyFont="1" applyFill="1" applyBorder="1" applyAlignment="1" applyProtection="1">
      <alignment horizontal="center" vertical="center"/>
      <protection locked="0"/>
    </xf>
    <xf numFmtId="2" fontId="25" fillId="6" borderId="24" xfId="3" applyNumberFormat="1" applyFont="1" applyFill="1" applyBorder="1" applyAlignment="1" applyProtection="1">
      <alignment horizontal="center" vertical="center"/>
    </xf>
    <xf numFmtId="2" fontId="25" fillId="6" borderId="24" xfId="3" applyNumberFormat="1" applyFont="1" applyFill="1" applyBorder="1" applyAlignment="1" applyProtection="1">
      <alignment vertical="center"/>
    </xf>
    <xf numFmtId="2" fontId="25" fillId="4" borderId="26" xfId="3" applyNumberFormat="1" applyFont="1" applyFill="1" applyBorder="1" applyAlignment="1" applyProtection="1">
      <alignment vertical="center"/>
    </xf>
    <xf numFmtId="2" fontId="25" fillId="4" borderId="56" xfId="3" applyNumberFormat="1" applyFont="1" applyFill="1" applyBorder="1" applyAlignment="1" applyProtection="1">
      <alignment horizontal="center" vertical="center"/>
    </xf>
    <xf numFmtId="0" fontId="25" fillId="5" borderId="17" xfId="3" applyFont="1" applyFill="1" applyBorder="1" applyAlignment="1" applyProtection="1">
      <alignment horizontal="center" vertical="center"/>
      <protection locked="0"/>
    </xf>
    <xf numFmtId="0" fontId="25" fillId="6" borderId="17" xfId="3" applyFont="1" applyFill="1" applyBorder="1" applyAlignment="1" applyProtection="1">
      <alignment vertical="center"/>
    </xf>
    <xf numFmtId="2" fontId="25" fillId="6" borderId="17" xfId="3" applyNumberFormat="1" applyFont="1" applyFill="1" applyBorder="1" applyAlignment="1" applyProtection="1">
      <alignment horizontal="center" vertical="center"/>
    </xf>
    <xf numFmtId="2" fontId="25" fillId="3" borderId="56" xfId="3" applyNumberFormat="1" applyFont="1" applyFill="1" applyBorder="1" applyAlignment="1" applyProtection="1">
      <alignment horizontal="center" vertical="center"/>
      <protection locked="0"/>
    </xf>
    <xf numFmtId="0" fontId="26" fillId="6" borderId="17" xfId="3" applyFont="1" applyFill="1" applyBorder="1" applyAlignment="1" applyProtection="1">
      <alignment horizontal="left" vertical="center"/>
    </xf>
    <xf numFmtId="2" fontId="25" fillId="6" borderId="8" xfId="3" applyNumberFormat="1" applyFont="1" applyFill="1" applyBorder="1" applyAlignment="1" applyProtection="1">
      <alignment vertical="center"/>
    </xf>
    <xf numFmtId="2" fontId="26" fillId="6" borderId="8" xfId="3" applyNumberFormat="1" applyFont="1" applyFill="1" applyBorder="1" applyAlignment="1" applyProtection="1">
      <alignment horizontal="center" vertical="center"/>
    </xf>
    <xf numFmtId="2" fontId="26" fillId="6" borderId="16" xfId="3" applyNumberFormat="1" applyFont="1" applyFill="1" applyBorder="1" applyAlignment="1" applyProtection="1">
      <alignment vertical="center"/>
    </xf>
    <xf numFmtId="2" fontId="26" fillId="4" borderId="26" xfId="3" applyNumberFormat="1" applyFont="1" applyFill="1" applyBorder="1" applyAlignment="1" applyProtection="1">
      <alignment vertical="center"/>
    </xf>
    <xf numFmtId="0" fontId="25" fillId="6" borderId="21" xfId="3" applyFont="1" applyFill="1" applyBorder="1" applyAlignment="1" applyProtection="1">
      <alignment vertical="center"/>
    </xf>
    <xf numFmtId="0" fontId="25" fillId="6" borderId="28" xfId="3" applyFont="1" applyFill="1" applyBorder="1" applyAlignment="1" applyProtection="1">
      <alignment vertical="center"/>
    </xf>
    <xf numFmtId="2" fontId="26" fillId="6" borderId="28" xfId="3" applyNumberFormat="1" applyFont="1" applyFill="1" applyBorder="1" applyAlignment="1" applyProtection="1">
      <alignment horizontal="center" vertical="center"/>
    </xf>
    <xf numFmtId="2" fontId="26" fillId="6" borderId="28" xfId="3" applyNumberFormat="1" applyFont="1" applyFill="1" applyBorder="1" applyAlignment="1" applyProtection="1">
      <alignment vertical="center"/>
    </xf>
    <xf numFmtId="0" fontId="25" fillId="6" borderId="57" xfId="3" applyFont="1" applyFill="1" applyBorder="1" applyAlignment="1" applyProtection="1">
      <alignment vertical="center"/>
    </xf>
    <xf numFmtId="0" fontId="25" fillId="4" borderId="21" xfId="3" applyFont="1" applyFill="1" applyBorder="1" applyAlignment="1" applyProtection="1">
      <alignment vertical="center"/>
    </xf>
    <xf numFmtId="2" fontId="26" fillId="4" borderId="57" xfId="3" applyNumberFormat="1" applyFont="1" applyFill="1" applyBorder="1" applyAlignment="1" applyProtection="1">
      <alignment horizontal="center" vertical="center"/>
    </xf>
    <xf numFmtId="2" fontId="26" fillId="4" borderId="21" xfId="3" applyNumberFormat="1" applyFont="1" applyFill="1" applyBorder="1" applyAlignment="1" applyProtection="1">
      <alignment vertical="center"/>
    </xf>
    <xf numFmtId="0" fontId="25" fillId="4" borderId="57" xfId="3" applyFont="1" applyFill="1" applyBorder="1" applyAlignment="1" applyProtection="1">
      <alignment vertical="center"/>
    </xf>
    <xf numFmtId="0" fontId="22" fillId="10" borderId="25" xfId="0" applyFont="1" applyFill="1" applyBorder="1"/>
    <xf numFmtId="0" fontId="22" fillId="10" borderId="55" xfId="0" applyFont="1" applyFill="1" applyBorder="1"/>
    <xf numFmtId="0" fontId="22" fillId="10" borderId="54" xfId="0" applyFont="1" applyFill="1" applyBorder="1"/>
    <xf numFmtId="0" fontId="22" fillId="0" borderId="0" xfId="0" applyFont="1" applyFill="1"/>
    <xf numFmtId="0" fontId="0" fillId="0" borderId="21" xfId="0" applyBorder="1" applyProtection="1">
      <protection locked="0"/>
    </xf>
    <xf numFmtId="0" fontId="0" fillId="4" borderId="28" xfId="0" applyNumberFormat="1" applyFill="1" applyBorder="1" applyAlignment="1">
      <alignment horizontal="center"/>
    </xf>
    <xf numFmtId="2" fontId="0" fillId="4" borderId="57" xfId="0" applyNumberFormat="1" applyFill="1" applyBorder="1" applyAlignment="1">
      <alignment horizontal="right" indent="3"/>
    </xf>
    <xf numFmtId="0" fontId="0" fillId="0" borderId="0" xfId="0" applyNumberFormat="1"/>
    <xf numFmtId="0" fontId="4" fillId="2" borderId="8" xfId="0" applyFont="1" applyFill="1" applyBorder="1" applyAlignment="1">
      <alignment horizontal="center"/>
    </xf>
    <xf numFmtId="0" fontId="0" fillId="0" borderId="8" xfId="0" applyBorder="1"/>
    <xf numFmtId="0" fontId="0" fillId="2" borderId="58" xfId="0" applyFill="1" applyBorder="1"/>
    <xf numFmtId="0" fontId="4" fillId="2" borderId="0" xfId="0" applyFont="1" applyFill="1" applyBorder="1" applyAlignment="1">
      <alignment horizontal="center"/>
    </xf>
    <xf numFmtId="0" fontId="4" fillId="2" borderId="0" xfId="0" quotePrefix="1" applyFont="1" applyFill="1" applyBorder="1" applyAlignment="1">
      <alignment horizontal="center"/>
    </xf>
    <xf numFmtId="0" fontId="0" fillId="2" borderId="59" xfId="0" applyFill="1" applyBorder="1"/>
    <xf numFmtId="0" fontId="0" fillId="2" borderId="43" xfId="0" applyFill="1" applyBorder="1"/>
    <xf numFmtId="0" fontId="0" fillId="2" borderId="8" xfId="0" applyFill="1" applyBorder="1" applyAlignment="1"/>
    <xf numFmtId="0" fontId="4" fillId="2" borderId="8" xfId="0" applyFont="1" applyFill="1" applyBorder="1" applyAlignment="1"/>
    <xf numFmtId="0" fontId="0" fillId="2" borderId="56" xfId="0" applyFill="1" applyBorder="1"/>
    <xf numFmtId="0" fontId="0" fillId="2" borderId="16" xfId="0" applyFill="1" applyBorder="1"/>
    <xf numFmtId="0" fontId="0" fillId="2" borderId="24" xfId="0" applyFill="1" applyBorder="1" applyAlignment="1"/>
    <xf numFmtId="0" fontId="0" fillId="2" borderId="12" xfId="0" applyFill="1" applyBorder="1"/>
    <xf numFmtId="0" fontId="0" fillId="2" borderId="27" xfId="0" applyFill="1" applyBorder="1"/>
    <xf numFmtId="165" fontId="0" fillId="2" borderId="8" xfId="0" applyNumberFormat="1" applyFill="1" applyBorder="1"/>
    <xf numFmtId="168" fontId="0" fillId="2" borderId="56" xfId="0" applyNumberFormat="1" applyFill="1" applyBorder="1"/>
    <xf numFmtId="165" fontId="0" fillId="2" borderId="56" xfId="0" applyNumberFormat="1" applyFill="1" applyBorder="1"/>
    <xf numFmtId="170" fontId="0" fillId="2" borderId="56" xfId="0" applyNumberFormat="1" applyFill="1" applyBorder="1"/>
    <xf numFmtId="4" fontId="0" fillId="2" borderId="56" xfId="0" applyNumberFormat="1" applyFill="1" applyBorder="1"/>
    <xf numFmtId="39" fontId="0" fillId="2" borderId="56" xfId="0" applyNumberFormat="1" applyFill="1" applyBorder="1"/>
    <xf numFmtId="0" fontId="4" fillId="2" borderId="19" xfId="0" applyFont="1" applyFill="1" applyBorder="1" applyAlignment="1">
      <alignment horizontal="right"/>
    </xf>
    <xf numFmtId="0" fontId="4" fillId="2" borderId="8" xfId="0" applyFont="1" applyFill="1" applyBorder="1" applyAlignment="1">
      <alignment horizontal="center"/>
    </xf>
    <xf numFmtId="0" fontId="8" fillId="6" borderId="19" xfId="0" applyFont="1" applyFill="1" applyBorder="1" applyAlignment="1" applyProtection="1">
      <alignment horizontal="center"/>
      <protection hidden="1"/>
    </xf>
    <xf numFmtId="165" fontId="0" fillId="2" borderId="0" xfId="0" applyNumberFormat="1" applyFill="1"/>
    <xf numFmtId="0" fontId="0" fillId="4" borderId="0" xfId="0" applyFill="1" applyBorder="1" applyAlignment="1">
      <alignment horizontal="center"/>
    </xf>
    <xf numFmtId="0" fontId="0" fillId="4" borderId="46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7" xfId="0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0" fillId="4" borderId="44" xfId="0" applyFill="1" applyBorder="1" applyAlignment="1">
      <alignment horizontal="center"/>
    </xf>
    <xf numFmtId="0" fontId="0" fillId="4" borderId="45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43" fontId="8" fillId="6" borderId="28" xfId="1" applyFont="1" applyFill="1" applyBorder="1" applyAlignment="1" applyProtection="1">
      <alignment horizontal="center"/>
      <protection hidden="1"/>
    </xf>
    <xf numFmtId="0" fontId="8" fillId="6" borderId="19" xfId="0" applyFont="1" applyFill="1" applyBorder="1" applyAlignment="1" applyProtection="1">
      <alignment horizontal="center"/>
      <protection hidden="1"/>
    </xf>
    <xf numFmtId="0" fontId="8" fillId="6" borderId="27" xfId="0" applyFont="1" applyFill="1" applyBorder="1" applyAlignment="1" applyProtection="1">
      <alignment horizontal="center"/>
      <protection hidden="1"/>
    </xf>
    <xf numFmtId="0" fontId="21" fillId="2" borderId="0" xfId="0" applyFont="1" applyFill="1" applyAlignment="1">
      <alignment horizontal="center"/>
    </xf>
    <xf numFmtId="0" fontId="8" fillId="6" borderId="21" xfId="0" applyFont="1" applyFill="1" applyBorder="1" applyAlignment="1" applyProtection="1">
      <alignment horizontal="center"/>
      <protection hidden="1"/>
    </xf>
    <xf numFmtId="0" fontId="0" fillId="6" borderId="16" xfId="0" applyFill="1" applyBorder="1" applyAlignment="1"/>
    <xf numFmtId="0" fontId="0" fillId="6" borderId="19" xfId="0" applyFill="1" applyBorder="1" applyAlignment="1" applyProtection="1">
      <alignment horizontal="center"/>
      <protection hidden="1"/>
    </xf>
    <xf numFmtId="0" fontId="0" fillId="6" borderId="16" xfId="0" applyFill="1" applyBorder="1" applyAlignment="1" applyProtection="1">
      <alignment horizontal="center"/>
      <protection hidden="1"/>
    </xf>
    <xf numFmtId="164" fontId="8" fillId="6" borderId="19" xfId="0" applyNumberFormat="1" applyFont="1" applyFill="1" applyBorder="1" applyAlignment="1" applyProtection="1">
      <alignment horizontal="center"/>
      <protection hidden="1"/>
    </xf>
    <xf numFmtId="164" fontId="9" fillId="0" borderId="16" xfId="0" applyNumberFormat="1" applyFont="1" applyBorder="1" applyAlignment="1">
      <alignment horizontal="center"/>
    </xf>
    <xf numFmtId="1" fontId="8" fillId="6" borderId="19" xfId="0" applyNumberFormat="1" applyFont="1" applyFill="1" applyBorder="1" applyAlignment="1" applyProtection="1">
      <alignment horizontal="center"/>
      <protection hidden="1"/>
    </xf>
    <xf numFmtId="1" fontId="9" fillId="0" borderId="27" xfId="0" applyNumberFormat="1" applyFont="1" applyBorder="1" applyAlignment="1">
      <alignment horizontal="center"/>
    </xf>
    <xf numFmtId="167" fontId="8" fillId="6" borderId="19" xfId="1" applyNumberFormat="1" applyFont="1" applyFill="1" applyBorder="1" applyAlignment="1" applyProtection="1">
      <alignment horizontal="center"/>
      <protection hidden="1"/>
    </xf>
    <xf numFmtId="0" fontId="9" fillId="0" borderId="16" xfId="0" applyFont="1" applyBorder="1" applyAlignment="1"/>
    <xf numFmtId="168" fontId="8" fillId="6" borderId="19" xfId="1" applyNumberFormat="1" applyFont="1" applyFill="1" applyBorder="1" applyAlignment="1" applyProtection="1">
      <alignment horizontal="center"/>
      <protection hidden="1"/>
    </xf>
    <xf numFmtId="0" fontId="9" fillId="0" borderId="27" xfId="0" applyFont="1" applyBorder="1" applyAlignment="1"/>
    <xf numFmtId="0" fontId="9" fillId="6" borderId="27" xfId="0" applyFont="1" applyFill="1" applyBorder="1" applyAlignment="1"/>
    <xf numFmtId="43" fontId="8" fillId="2" borderId="28" xfId="1" applyFont="1" applyFill="1" applyBorder="1" applyAlignment="1" applyProtection="1">
      <alignment horizontal="center"/>
      <protection hidden="1"/>
    </xf>
    <xf numFmtId="0" fontId="15" fillId="2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6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0" fillId="2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8" fillId="2" borderId="8" xfId="0" applyFont="1" applyFill="1" applyBorder="1" applyAlignment="1" applyProtection="1">
      <alignment horizontal="center"/>
      <protection hidden="1"/>
    </xf>
    <xf numFmtId="0" fontId="8" fillId="2" borderId="8" xfId="0" applyFont="1" applyFill="1" applyBorder="1" applyAlignment="1">
      <alignment horizontal="center"/>
    </xf>
    <xf numFmtId="0" fontId="13" fillId="2" borderId="8" xfId="0" applyFont="1" applyFill="1" applyBorder="1" applyAlignment="1">
      <alignment horizontal="center"/>
    </xf>
    <xf numFmtId="0" fontId="15" fillId="2" borderId="28" xfId="0" applyFont="1" applyFill="1" applyBorder="1" applyAlignment="1">
      <alignment horizontal="center" vertical="center"/>
    </xf>
    <xf numFmtId="0" fontId="26" fillId="6" borderId="25" xfId="3" applyFont="1" applyFill="1" applyBorder="1" applyAlignment="1" applyProtection="1">
      <alignment horizontal="left" vertical="center"/>
    </xf>
    <xf numFmtId="0" fontId="26" fillId="6" borderId="55" xfId="3" applyFont="1" applyFill="1" applyBorder="1" applyAlignment="1" applyProtection="1">
      <alignment horizontal="left" vertical="center"/>
    </xf>
    <xf numFmtId="4" fontId="25" fillId="4" borderId="55" xfId="3" applyNumberFormat="1" applyFont="1" applyFill="1" applyBorder="1" applyAlignment="1" applyProtection="1">
      <alignment horizontal="left" vertical="center"/>
      <protection locked="0"/>
    </xf>
    <xf numFmtId="4" fontId="25" fillId="4" borderId="54" xfId="3" applyNumberFormat="1" applyFont="1" applyFill="1" applyBorder="1" applyAlignment="1" applyProtection="1">
      <alignment horizontal="left" vertical="center"/>
      <protection locked="0"/>
    </xf>
    <xf numFmtId="0" fontId="23" fillId="9" borderId="19" xfId="3" applyFont="1" applyFill="1" applyBorder="1" applyAlignment="1" applyProtection="1">
      <alignment horizontal="center" vertical="center"/>
    </xf>
    <xf numFmtId="0" fontId="23" fillId="9" borderId="27" xfId="3" applyFont="1" applyFill="1" applyBorder="1" applyAlignment="1" applyProtection="1">
      <alignment horizontal="center" vertical="center"/>
    </xf>
    <xf numFmtId="0" fontId="23" fillId="9" borderId="16" xfId="3" applyFont="1" applyFill="1" applyBorder="1" applyAlignment="1" applyProtection="1">
      <alignment horizontal="center" vertical="center"/>
    </xf>
    <xf numFmtId="0" fontId="24" fillId="9" borderId="25" xfId="0" applyFont="1" applyFill="1" applyBorder="1" applyAlignment="1">
      <alignment horizontal="center"/>
    </xf>
    <xf numFmtId="0" fontId="24" fillId="9" borderId="54" xfId="0" applyFont="1" applyFill="1" applyBorder="1" applyAlignment="1">
      <alignment horizontal="center"/>
    </xf>
    <xf numFmtId="0" fontId="26" fillId="6" borderId="54" xfId="3" applyFont="1" applyFill="1" applyBorder="1" applyAlignment="1" applyProtection="1">
      <alignment horizontal="left" vertical="center"/>
    </xf>
    <xf numFmtId="4" fontId="25" fillId="5" borderId="55" xfId="3" applyNumberFormat="1" applyFont="1" applyFill="1" applyBorder="1" applyAlignment="1" applyProtection="1">
      <alignment horizontal="left" vertical="center"/>
      <protection locked="0"/>
    </xf>
    <xf numFmtId="4" fontId="25" fillId="5" borderId="54" xfId="3" applyNumberFormat="1" applyFont="1" applyFill="1" applyBorder="1" applyAlignment="1" applyProtection="1">
      <alignment horizontal="left" vertical="center"/>
      <protection locked="0"/>
    </xf>
    <xf numFmtId="0" fontId="4" fillId="2" borderId="8" xfId="0" applyFont="1" applyFill="1" applyBorder="1" applyAlignment="1">
      <alignment horizontal="center"/>
    </xf>
    <xf numFmtId="0" fontId="18" fillId="2" borderId="0" xfId="0" applyFont="1" applyFill="1" applyAlignment="1">
      <alignment horizontal="center" vertical="center"/>
    </xf>
    <xf numFmtId="0" fontId="0" fillId="5" borderId="0" xfId="0" applyFill="1" applyBorder="1" applyAlignment="1" applyProtection="1">
      <alignment horizontal="center"/>
      <protection locked="0"/>
    </xf>
    <xf numFmtId="43" fontId="8" fillId="6" borderId="27" xfId="1" applyFont="1" applyFill="1" applyBorder="1" applyAlignment="1" applyProtection="1">
      <alignment horizontal="center"/>
      <protection hidden="1"/>
    </xf>
    <xf numFmtId="0" fontId="8" fillId="6" borderId="19" xfId="0" applyFont="1" applyFill="1" applyBorder="1" applyAlignment="1">
      <alignment horizontal="center"/>
    </xf>
    <xf numFmtId="43" fontId="8" fillId="6" borderId="19" xfId="1" applyFont="1" applyFill="1" applyBorder="1" applyAlignment="1" applyProtection="1">
      <alignment horizontal="center"/>
      <protection hidden="1"/>
    </xf>
    <xf numFmtId="0" fontId="8" fillId="6" borderId="27" xfId="0" applyFont="1" applyFill="1" applyBorder="1"/>
    <xf numFmtId="0" fontId="8" fillId="6" borderId="16" xfId="0" applyFont="1" applyFill="1" applyBorder="1"/>
    <xf numFmtId="43" fontId="0" fillId="5" borderId="26" xfId="1" applyFont="1" applyFill="1" applyBorder="1" applyAlignment="1" applyProtection="1">
      <protection locked="0"/>
    </xf>
    <xf numFmtId="0" fontId="0" fillId="6" borderId="16" xfId="0" applyFill="1" applyBorder="1"/>
    <xf numFmtId="44" fontId="0" fillId="2" borderId="0" xfId="4" applyFont="1" applyFill="1"/>
    <xf numFmtId="44" fontId="4" fillId="2" borderId="11" xfId="4" applyFont="1" applyFill="1" applyBorder="1" applyAlignment="1">
      <alignment horizontal="center"/>
    </xf>
    <xf numFmtId="44" fontId="0" fillId="2" borderId="11" xfId="4" applyFont="1" applyFill="1" applyBorder="1"/>
    <xf numFmtId="44" fontId="0" fillId="2" borderId="36" xfId="4" applyFont="1" applyFill="1" applyBorder="1"/>
    <xf numFmtId="44" fontId="0" fillId="2" borderId="30" xfId="4" applyFont="1" applyFill="1" applyBorder="1"/>
    <xf numFmtId="44" fontId="0" fillId="2" borderId="39" xfId="4" applyFont="1" applyFill="1" applyBorder="1"/>
    <xf numFmtId="44" fontId="0" fillId="2" borderId="41" xfId="4" applyFont="1" applyFill="1" applyBorder="1"/>
    <xf numFmtId="44" fontId="4" fillId="2" borderId="39" xfId="4" applyFont="1" applyFill="1" applyBorder="1" applyAlignment="1">
      <alignment horizontal="center"/>
    </xf>
    <xf numFmtId="44" fontId="4" fillId="2" borderId="9" xfId="4" applyFont="1" applyFill="1" applyBorder="1" applyAlignment="1">
      <alignment horizontal="center"/>
    </xf>
    <xf numFmtId="44" fontId="0" fillId="2" borderId="36" xfId="4" quotePrefix="1" applyFont="1" applyFill="1" applyBorder="1" applyAlignment="1">
      <alignment horizontal="right"/>
    </xf>
    <xf numFmtId="44" fontId="4" fillId="2" borderId="34" xfId="4" applyFont="1" applyFill="1" applyBorder="1" applyAlignment="1">
      <alignment horizontal="center"/>
    </xf>
    <xf numFmtId="44" fontId="0" fillId="2" borderId="59" xfId="4" applyFont="1" applyFill="1" applyBorder="1"/>
    <xf numFmtId="44" fontId="0" fillId="2" borderId="58" xfId="4" applyFont="1" applyFill="1" applyBorder="1"/>
    <xf numFmtId="44" fontId="0" fillId="2" borderId="0" xfId="4" applyFont="1" applyFill="1" applyBorder="1"/>
    <xf numFmtId="44" fontId="4" fillId="2" borderId="12" xfId="4" applyFont="1" applyFill="1" applyBorder="1" applyAlignment="1">
      <alignment horizontal="center"/>
    </xf>
    <xf numFmtId="44" fontId="0" fillId="2" borderId="38" xfId="4" applyFont="1" applyFill="1" applyBorder="1"/>
    <xf numFmtId="44" fontId="0" fillId="2" borderId="40" xfId="4" applyFont="1" applyFill="1" applyBorder="1"/>
    <xf numFmtId="44" fontId="4" fillId="2" borderId="38" xfId="4" applyFont="1" applyFill="1" applyBorder="1" applyAlignment="1">
      <alignment horizontal="center"/>
    </xf>
    <xf numFmtId="44" fontId="4" fillId="2" borderId="8" xfId="4" applyFont="1" applyFill="1" applyBorder="1" applyAlignment="1">
      <alignment horizontal="center"/>
    </xf>
    <xf numFmtId="44" fontId="4" fillId="2" borderId="33" xfId="4" applyFont="1" applyFill="1" applyBorder="1" applyAlignment="1">
      <alignment horizontal="center"/>
    </xf>
    <xf numFmtId="44" fontId="0" fillId="2" borderId="32" xfId="4" applyFont="1" applyFill="1" applyBorder="1"/>
    <xf numFmtId="0" fontId="18" fillId="4" borderId="1" xfId="0" applyFont="1" applyFill="1" applyBorder="1" applyAlignment="1" applyProtection="1">
      <alignment horizontal="center" vertical="center"/>
    </xf>
    <xf numFmtId="0" fontId="18" fillId="4" borderId="0" xfId="0" applyFont="1" applyFill="1" applyBorder="1" applyAlignment="1" applyProtection="1">
      <alignment horizontal="center" vertical="center"/>
    </xf>
    <xf numFmtId="0" fontId="8" fillId="4" borderId="0" xfId="0" applyFont="1" applyFill="1" applyBorder="1" applyAlignment="1" applyProtection="1"/>
    <xf numFmtId="0" fontId="0" fillId="4" borderId="0" xfId="0" applyFill="1" applyProtection="1"/>
    <xf numFmtId="0" fontId="18" fillId="4" borderId="2" xfId="0" applyFont="1" applyFill="1" applyBorder="1" applyAlignment="1" applyProtection="1">
      <alignment horizontal="center" vertical="center"/>
    </xf>
    <xf numFmtId="0" fontId="18" fillId="4" borderId="3" xfId="0" applyFont="1" applyFill="1" applyBorder="1" applyAlignment="1" applyProtection="1">
      <alignment horizontal="center" vertical="center"/>
    </xf>
    <xf numFmtId="0" fontId="8" fillId="4" borderId="3" xfId="0" applyFont="1" applyFill="1" applyBorder="1" applyAlignment="1" applyProtection="1"/>
    <xf numFmtId="0" fontId="8" fillId="2" borderId="4" xfId="0" applyFont="1" applyFill="1" applyBorder="1" applyAlignment="1" applyProtection="1">
      <alignment horizontal="center"/>
    </xf>
    <xf numFmtId="0" fontId="8" fillId="2" borderId="5" xfId="0" applyFont="1" applyFill="1" applyBorder="1" applyAlignment="1" applyProtection="1">
      <alignment horizontal="center"/>
    </xf>
    <xf numFmtId="0" fontId="8" fillId="2" borderId="18" xfId="0" applyFont="1" applyFill="1" applyBorder="1" applyAlignment="1" applyProtection="1">
      <alignment horizontal="center"/>
    </xf>
    <xf numFmtId="0" fontId="8" fillId="2" borderId="49" xfId="0" applyFont="1" applyFill="1" applyBorder="1" applyAlignment="1" applyProtection="1">
      <alignment horizontal="center"/>
    </xf>
    <xf numFmtId="0" fontId="8" fillId="2" borderId="6" xfId="0" applyFont="1" applyFill="1" applyBorder="1" applyAlignment="1" applyProtection="1">
      <alignment horizontal="center"/>
    </xf>
    <xf numFmtId="0" fontId="0" fillId="2" borderId="0" xfId="0" applyFill="1" applyProtection="1"/>
    <xf numFmtId="0" fontId="0" fillId="4" borderId="7" xfId="0" applyFill="1" applyBorder="1" applyAlignment="1" applyProtection="1">
      <alignment horizontal="center"/>
    </xf>
    <xf numFmtId="0" fontId="0" fillId="4" borderId="8" xfId="0" applyFill="1" applyBorder="1" applyProtection="1"/>
    <xf numFmtId="0" fontId="0" fillId="4" borderId="19" xfId="0" applyFill="1" applyBorder="1" applyAlignment="1" applyProtection="1">
      <alignment horizontal="center"/>
    </xf>
    <xf numFmtId="4" fontId="0" fillId="4" borderId="9" xfId="0" applyNumberFormat="1" applyFill="1" applyBorder="1" applyAlignment="1" applyProtection="1">
      <alignment horizontal="center"/>
    </xf>
    <xf numFmtId="9" fontId="0" fillId="4" borderId="50" xfId="2" applyFont="1" applyFill="1" applyBorder="1" applyAlignment="1" applyProtection="1">
      <alignment horizontal="center"/>
    </xf>
    <xf numFmtId="9" fontId="0" fillId="4" borderId="9" xfId="2" applyFont="1" applyFill="1" applyBorder="1" applyAlignment="1" applyProtection="1">
      <alignment horizontal="center"/>
    </xf>
    <xf numFmtId="164" fontId="0" fillId="4" borderId="50" xfId="0" applyNumberFormat="1" applyFill="1" applyBorder="1" applyAlignment="1" applyProtection="1">
      <alignment horizontal="center"/>
    </xf>
    <xf numFmtId="164" fontId="0" fillId="4" borderId="9" xfId="0" applyNumberFormat="1" applyFill="1" applyBorder="1" applyAlignment="1" applyProtection="1">
      <alignment horizontal="center"/>
    </xf>
    <xf numFmtId="165" fontId="0" fillId="4" borderId="50" xfId="0" applyNumberFormat="1" applyFill="1" applyBorder="1" applyAlignment="1" applyProtection="1">
      <alignment horizontal="center"/>
    </xf>
    <xf numFmtId="165" fontId="0" fillId="4" borderId="9" xfId="0" applyNumberFormat="1" applyFill="1" applyBorder="1" applyAlignment="1" applyProtection="1">
      <alignment horizontal="center"/>
    </xf>
    <xf numFmtId="0" fontId="0" fillId="4" borderId="25" xfId="0" applyFill="1" applyBorder="1" applyAlignment="1" applyProtection="1">
      <alignment horizontal="center"/>
    </xf>
    <xf numFmtId="0" fontId="0" fillId="4" borderId="12" xfId="0" applyFill="1" applyBorder="1" applyProtection="1"/>
    <xf numFmtId="0" fontId="0" fillId="4" borderId="12" xfId="0" applyFont="1" applyFill="1" applyBorder="1" applyProtection="1"/>
    <xf numFmtId="0" fontId="9" fillId="4" borderId="25" xfId="0" applyFont="1" applyFill="1" applyBorder="1" applyAlignment="1" applyProtection="1">
      <alignment horizontal="center"/>
    </xf>
    <xf numFmtId="4" fontId="0" fillId="4" borderId="51" xfId="0" applyNumberFormat="1" applyFill="1" applyBorder="1" applyAlignment="1" applyProtection="1">
      <alignment horizontal="center"/>
    </xf>
    <xf numFmtId="4" fontId="0" fillId="4" borderId="11" xfId="0" applyNumberFormat="1" applyFill="1" applyBorder="1" applyAlignment="1" applyProtection="1">
      <alignment horizontal="center"/>
    </xf>
    <xf numFmtId="3" fontId="0" fillId="4" borderId="51" xfId="0" applyNumberFormat="1" applyFill="1" applyBorder="1" applyAlignment="1" applyProtection="1">
      <alignment horizontal="center"/>
    </xf>
    <xf numFmtId="3" fontId="0" fillId="4" borderId="11" xfId="0" applyNumberFormat="1" applyFill="1" applyBorder="1" applyAlignment="1" applyProtection="1">
      <alignment horizontal="center"/>
    </xf>
    <xf numFmtId="0" fontId="0" fillId="4" borderId="14" xfId="0" applyFill="1" applyBorder="1" applyProtection="1"/>
    <xf numFmtId="0" fontId="0" fillId="4" borderId="20" xfId="0" applyFill="1" applyBorder="1" applyAlignment="1" applyProtection="1">
      <alignment horizontal="center"/>
    </xf>
    <xf numFmtId="2" fontId="0" fillId="4" borderId="52" xfId="0" applyNumberFormat="1" applyFill="1" applyBorder="1" applyAlignment="1" applyProtection="1">
      <alignment horizontal="center"/>
    </xf>
    <xf numFmtId="2" fontId="0" fillId="4" borderId="15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0" fontId="0" fillId="4" borderId="0" xfId="0" applyFont="1" applyFill="1" applyBorder="1" applyProtection="1"/>
    <xf numFmtId="0" fontId="9" fillId="4" borderId="0" xfId="0" applyFont="1" applyFill="1" applyBorder="1" applyAlignment="1" applyProtection="1">
      <alignment horizontal="center"/>
    </xf>
    <xf numFmtId="2" fontId="0" fillId="4" borderId="0" xfId="0" applyNumberFormat="1" applyFill="1" applyBorder="1" applyAlignment="1" applyProtection="1">
      <alignment horizontal="center"/>
    </xf>
    <xf numFmtId="0" fontId="0" fillId="4" borderId="0" xfId="0" applyFill="1" applyAlignment="1" applyProtection="1">
      <alignment horizontal="center"/>
    </xf>
    <xf numFmtId="0" fontId="8" fillId="4" borderId="1" xfId="0" applyFont="1" applyFill="1" applyBorder="1" applyAlignment="1" applyProtection="1"/>
    <xf numFmtId="0" fontId="17" fillId="4" borderId="1" xfId="0" applyFont="1" applyFill="1" applyBorder="1" applyAlignment="1" applyProtection="1">
      <alignment horizontal="center" vertical="center"/>
    </xf>
    <xf numFmtId="0" fontId="17" fillId="4" borderId="0" xfId="0" applyFont="1" applyFill="1" applyBorder="1" applyAlignment="1" applyProtection="1">
      <alignment horizontal="center" vertical="center"/>
    </xf>
    <xf numFmtId="0" fontId="14" fillId="4" borderId="0" xfId="0" applyFont="1" applyFill="1" applyBorder="1" applyAlignment="1" applyProtection="1">
      <alignment vertical="center"/>
    </xf>
    <xf numFmtId="0" fontId="17" fillId="4" borderId="2" xfId="0" applyFont="1" applyFill="1" applyBorder="1" applyAlignment="1" applyProtection="1">
      <alignment horizontal="center" vertical="center"/>
    </xf>
    <xf numFmtId="0" fontId="17" fillId="4" borderId="3" xfId="0" applyFont="1" applyFill="1" applyBorder="1" applyAlignment="1" applyProtection="1">
      <alignment horizontal="center" vertical="center"/>
    </xf>
    <xf numFmtId="0" fontId="14" fillId="4" borderId="3" xfId="0" applyFont="1" applyFill="1" applyBorder="1" applyAlignment="1" applyProtection="1">
      <alignment vertical="center"/>
    </xf>
    <xf numFmtId="0" fontId="8" fillId="2" borderId="21" xfId="0" applyFont="1" applyFill="1" applyBorder="1" applyAlignment="1" applyProtection="1">
      <alignment horizontal="center"/>
    </xf>
    <xf numFmtId="0" fontId="8" fillId="2" borderId="22" xfId="0" applyFont="1" applyFill="1" applyBorder="1" applyAlignment="1" applyProtection="1">
      <alignment horizontal="center"/>
    </xf>
    <xf numFmtId="0" fontId="8" fillId="2" borderId="17" xfId="0" applyFont="1" applyFill="1" applyBorder="1" applyAlignment="1" applyProtection="1">
      <alignment horizontal="center"/>
    </xf>
    <xf numFmtId="0" fontId="8" fillId="2" borderId="53" xfId="0" applyFont="1" applyFill="1" applyBorder="1" applyAlignment="1" applyProtection="1">
      <alignment horizontal="center"/>
    </xf>
    <xf numFmtId="0" fontId="8" fillId="2" borderId="23" xfId="0" applyFont="1" applyFill="1" applyBorder="1" applyAlignment="1" applyProtection="1">
      <alignment horizontal="center"/>
    </xf>
    <xf numFmtId="0" fontId="0" fillId="4" borderId="8" xfId="0" applyFont="1" applyFill="1" applyBorder="1" applyProtection="1"/>
    <xf numFmtId="0" fontId="0" fillId="2" borderId="7" xfId="0" applyFill="1" applyBorder="1" applyAlignment="1" applyProtection="1">
      <alignment horizontal="center"/>
    </xf>
    <xf numFmtId="0" fontId="4" fillId="2" borderId="8" xfId="0" applyFont="1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4" fontId="0" fillId="2" borderId="50" xfId="0" applyNumberFormat="1" applyFill="1" applyBorder="1" applyAlignment="1" applyProtection="1">
      <alignment horizontal="center"/>
    </xf>
    <xf numFmtId="4" fontId="0" fillId="2" borderId="9" xfId="0" applyNumberFormat="1" applyFill="1" applyBorder="1" applyAlignment="1" applyProtection="1">
      <alignment horizontal="center"/>
    </xf>
    <xf numFmtId="0" fontId="0" fillId="4" borderId="7" xfId="0" applyFill="1" applyBorder="1" applyAlignment="1" applyProtection="1">
      <alignment horizontal="left"/>
    </xf>
    <xf numFmtId="165" fontId="0" fillId="2" borderId="50" xfId="0" applyNumberFormat="1" applyFill="1" applyBorder="1" applyAlignment="1" applyProtection="1">
      <alignment horizontal="center"/>
    </xf>
    <xf numFmtId="165" fontId="0" fillId="2" borderId="9" xfId="0" applyNumberFormat="1" applyFill="1" applyBorder="1" applyAlignment="1" applyProtection="1">
      <alignment horizontal="center"/>
    </xf>
    <xf numFmtId="0" fontId="0" fillId="4" borderId="10" xfId="0" applyFill="1" applyBorder="1" applyAlignment="1" applyProtection="1">
      <alignment horizontal="center"/>
    </xf>
    <xf numFmtId="0" fontId="0" fillId="4" borderId="8" xfId="0" applyFill="1" applyBorder="1" applyAlignment="1" applyProtection="1">
      <alignment horizontal="center"/>
    </xf>
    <xf numFmtId="0" fontId="0" fillId="4" borderId="13" xfId="0" applyFill="1" applyBorder="1" applyAlignment="1" applyProtection="1">
      <alignment horizontal="center"/>
    </xf>
    <xf numFmtId="0" fontId="0" fillId="4" borderId="14" xfId="0" applyFont="1" applyFill="1" applyBorder="1" applyProtection="1"/>
    <xf numFmtId="0" fontId="9" fillId="4" borderId="20" xfId="0" applyFont="1" applyFill="1" applyBorder="1" applyAlignment="1" applyProtection="1">
      <alignment horizontal="center"/>
    </xf>
    <xf numFmtId="0" fontId="0" fillId="3" borderId="0" xfId="0" applyFill="1" applyProtection="1">
      <protection locked="0"/>
    </xf>
    <xf numFmtId="0" fontId="0" fillId="5" borderId="8" xfId="0" quotePrefix="1" applyFill="1" applyBorder="1" applyAlignment="1" applyProtection="1">
      <alignment horizontal="left"/>
      <protection locked="0"/>
    </xf>
    <xf numFmtId="0" fontId="9" fillId="5" borderId="8" xfId="0" applyFont="1" applyFill="1" applyBorder="1" applyAlignment="1" applyProtection="1">
      <alignment horizontal="left"/>
      <protection locked="0"/>
    </xf>
    <xf numFmtId="0" fontId="0" fillId="5" borderId="12" xfId="0" applyFill="1" applyBorder="1" applyProtection="1">
      <protection locked="0"/>
    </xf>
    <xf numFmtId="0" fontId="9" fillId="5" borderId="12" xfId="0" applyFont="1" applyFill="1" applyBorder="1" applyProtection="1">
      <protection locked="0"/>
    </xf>
    <xf numFmtId="9" fontId="0" fillId="3" borderId="0" xfId="2" applyFont="1" applyFill="1" applyProtection="1">
      <protection locked="0"/>
    </xf>
    <xf numFmtId="0" fontId="0" fillId="5" borderId="0" xfId="0" applyFill="1" applyProtection="1">
      <protection locked="0"/>
    </xf>
    <xf numFmtId="165" fontId="0" fillId="5" borderId="0" xfId="0" applyNumberFormat="1" applyFill="1" applyAlignment="1" applyProtection="1">
      <alignment horizontal="center"/>
      <protection locked="0"/>
    </xf>
    <xf numFmtId="3" fontId="0" fillId="5" borderId="0" xfId="0" applyNumberFormat="1" applyFill="1" applyAlignment="1" applyProtection="1">
      <alignment horizontal="center"/>
      <protection locked="0"/>
    </xf>
    <xf numFmtId="0" fontId="9" fillId="5" borderId="0" xfId="0" applyFont="1" applyFill="1" applyBorder="1" applyAlignment="1" applyProtection="1">
      <alignment horizontal="left"/>
      <protection locked="0"/>
    </xf>
    <xf numFmtId="0" fontId="0" fillId="5" borderId="26" xfId="0" applyFill="1" applyBorder="1" applyAlignment="1" applyProtection="1">
      <alignment horizontal="center"/>
      <protection locked="0"/>
    </xf>
    <xf numFmtId="0" fontId="9" fillId="5" borderId="0" xfId="0" applyFont="1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7" borderId="8" xfId="0" applyFill="1" applyBorder="1" applyAlignment="1" applyProtection="1">
      <alignment horizontal="center"/>
      <protection locked="0"/>
    </xf>
    <xf numFmtId="0" fontId="0" fillId="5" borderId="24" xfId="0" applyFill="1" applyBorder="1" applyProtection="1">
      <protection locked="0"/>
    </xf>
    <xf numFmtId="2" fontId="0" fillId="5" borderId="12" xfId="0" applyNumberFormat="1" applyFill="1" applyBorder="1" applyProtection="1">
      <protection locked="0"/>
    </xf>
    <xf numFmtId="0" fontId="0" fillId="5" borderId="17" xfId="0" applyFill="1" applyBorder="1" applyProtection="1">
      <protection locked="0"/>
    </xf>
    <xf numFmtId="0" fontId="0" fillId="5" borderId="16" xfId="0" applyFill="1" applyBorder="1" applyProtection="1">
      <protection locked="0"/>
    </xf>
    <xf numFmtId="169" fontId="9" fillId="0" borderId="0" xfId="0" applyNumberFormat="1" applyFont="1" applyFill="1" applyProtection="1">
      <protection locked="0"/>
    </xf>
    <xf numFmtId="167" fontId="0" fillId="5" borderId="16" xfId="1" applyNumberFormat="1" applyFont="1" applyFill="1" applyBorder="1" applyAlignment="1" applyProtection="1">
      <alignment horizontal="right"/>
      <protection locked="0"/>
    </xf>
    <xf numFmtId="0" fontId="0" fillId="5" borderId="27" xfId="0" applyFill="1" applyBorder="1" applyProtection="1">
      <protection locked="0"/>
    </xf>
    <xf numFmtId="0" fontId="0" fillId="5" borderId="56" xfId="0" applyFill="1" applyBorder="1" applyAlignment="1" applyProtection="1">
      <alignment horizontal="center"/>
      <protection locked="0"/>
    </xf>
    <xf numFmtId="3" fontId="0" fillId="0" borderId="8" xfId="1" applyNumberFormat="1" applyFont="1" applyBorder="1" applyAlignment="1" applyProtection="1">
      <alignment horizontal="center"/>
      <protection locked="0"/>
    </xf>
    <xf numFmtId="1" fontId="0" fillId="0" borderId="8" xfId="1" applyNumberFormat="1" applyFont="1" applyBorder="1" applyAlignment="1" applyProtection="1">
      <alignment horizontal="center"/>
      <protection locked="0"/>
    </xf>
    <xf numFmtId="0" fontId="0" fillId="3" borderId="35" xfId="0" applyFill="1" applyBorder="1" applyProtection="1">
      <protection locked="0"/>
    </xf>
    <xf numFmtId="44" fontId="0" fillId="3" borderId="12" xfId="4" applyFont="1" applyFill="1" applyBorder="1" applyProtection="1">
      <protection locked="0"/>
    </xf>
    <xf numFmtId="0" fontId="0" fillId="3" borderId="1" xfId="0" applyFill="1" applyBorder="1" applyProtection="1">
      <protection locked="0"/>
    </xf>
    <xf numFmtId="44" fontId="0" fillId="3" borderId="24" xfId="4" applyFont="1" applyFill="1" applyBorder="1" applyProtection="1">
      <protection locked="0"/>
    </xf>
    <xf numFmtId="0" fontId="0" fillId="3" borderId="2" xfId="0" applyFill="1" applyBorder="1" applyProtection="1">
      <protection locked="0"/>
    </xf>
    <xf numFmtId="44" fontId="0" fillId="3" borderId="13" xfId="4" applyFont="1" applyFill="1" applyBorder="1" applyProtection="1">
      <protection locked="0"/>
    </xf>
    <xf numFmtId="0" fontId="0" fillId="3" borderId="12" xfId="0" applyFill="1" applyBorder="1" applyProtection="1">
      <protection locked="0"/>
    </xf>
    <xf numFmtId="0" fontId="0" fillId="3" borderId="24" xfId="0" applyFill="1" applyBorder="1" applyProtection="1">
      <protection locked="0"/>
    </xf>
    <xf numFmtId="0" fontId="0" fillId="3" borderId="13" xfId="0" applyFill="1" applyBorder="1" applyProtection="1">
      <protection locked="0"/>
    </xf>
    <xf numFmtId="0" fontId="0" fillId="3" borderId="10" xfId="0" applyFill="1" applyBorder="1" applyProtection="1">
      <protection locked="0"/>
    </xf>
    <xf numFmtId="0" fontId="0" fillId="3" borderId="42" xfId="0" applyFill="1" applyBorder="1" applyProtection="1">
      <protection locked="0"/>
    </xf>
    <xf numFmtId="0" fontId="4" fillId="3" borderId="42" xfId="0" quotePrefix="1" applyFont="1" applyFill="1" applyBorder="1" applyAlignment="1" applyProtection="1">
      <alignment horizontal="center"/>
      <protection locked="0"/>
    </xf>
    <xf numFmtId="44" fontId="4" fillId="3" borderId="24" xfId="4" quotePrefix="1" applyFont="1" applyFill="1" applyBorder="1" applyAlignment="1" applyProtection="1">
      <alignment horizontal="center"/>
      <protection locked="0"/>
    </xf>
    <xf numFmtId="0" fontId="4" fillId="3" borderId="24" xfId="0" quotePrefix="1" applyFont="1" applyFill="1" applyBorder="1" applyAlignment="1" applyProtection="1">
      <alignment horizontal="center"/>
      <protection locked="0"/>
    </xf>
    <xf numFmtId="0" fontId="0" fillId="3" borderId="37" xfId="0" applyFill="1" applyBorder="1" applyProtection="1">
      <protection locked="0"/>
    </xf>
    <xf numFmtId="44" fontId="0" fillId="3" borderId="38" xfId="4" applyFont="1" applyFill="1" applyBorder="1" applyProtection="1">
      <protection locked="0"/>
    </xf>
    <xf numFmtId="0" fontId="0" fillId="3" borderId="29" xfId="0" applyFill="1" applyBorder="1" applyProtection="1">
      <protection locked="0"/>
    </xf>
    <xf numFmtId="0" fontId="0" fillId="3" borderId="38" xfId="0" applyFill="1" applyBorder="1" applyProtection="1">
      <protection locked="0"/>
    </xf>
    <xf numFmtId="0" fontId="8" fillId="3" borderId="17" xfId="0" applyFont="1" applyFill="1" applyBorder="1" applyAlignment="1" applyProtection="1">
      <alignment horizontal="center"/>
      <protection locked="0"/>
    </xf>
    <xf numFmtId="0" fontId="13" fillId="3" borderId="17" xfId="0" applyFont="1" applyFill="1" applyBorder="1" applyProtection="1">
      <protection locked="0"/>
    </xf>
    <xf numFmtId="1" fontId="9" fillId="3" borderId="8" xfId="1" applyNumberFormat="1" applyFont="1" applyFill="1" applyBorder="1" applyAlignment="1" applyProtection="1">
      <alignment horizontal="center"/>
      <protection locked="0"/>
    </xf>
    <xf numFmtId="1" fontId="9" fillId="3" borderId="8" xfId="0" applyNumberFormat="1" applyFont="1" applyFill="1" applyBorder="1" applyAlignment="1" applyProtection="1">
      <alignment horizontal="center"/>
      <protection locked="0"/>
    </xf>
    <xf numFmtId="1" fontId="13" fillId="3" borderId="8" xfId="0" applyNumberFormat="1" applyFont="1" applyFill="1" applyBorder="1" applyProtection="1">
      <protection locked="0"/>
    </xf>
    <xf numFmtId="0" fontId="4" fillId="3" borderId="12" xfId="0" applyFont="1" applyFill="1" applyBorder="1" applyAlignment="1" applyProtection="1">
      <protection locked="0"/>
    </xf>
    <xf numFmtId="0" fontId="0" fillId="3" borderId="24" xfId="0" applyFill="1" applyBorder="1" applyAlignment="1" applyProtection="1">
      <protection locked="0"/>
    </xf>
    <xf numFmtId="0" fontId="0" fillId="3" borderId="56" xfId="0" applyFill="1" applyBorder="1" applyProtection="1">
      <protection locked="0"/>
    </xf>
    <xf numFmtId="0" fontId="0" fillId="3" borderId="24" xfId="0" applyFont="1" applyFill="1" applyBorder="1" applyAlignment="1" applyProtection="1">
      <protection locked="0"/>
    </xf>
    <xf numFmtId="0" fontId="3" fillId="3" borderId="24" xfId="0" applyFont="1" applyFill="1" applyBorder="1" applyProtection="1">
      <protection locked="0"/>
    </xf>
    <xf numFmtId="0" fontId="0" fillId="3" borderId="56" xfId="0" applyFill="1" applyBorder="1" applyAlignment="1" applyProtection="1">
      <protection locked="0"/>
    </xf>
    <xf numFmtId="0" fontId="4" fillId="3" borderId="24" xfId="0" applyFont="1" applyFill="1" applyBorder="1" applyAlignment="1" applyProtection="1">
      <protection locked="0"/>
    </xf>
    <xf numFmtId="0" fontId="0" fillId="3" borderId="17" xfId="0" applyFill="1" applyBorder="1" applyProtection="1">
      <protection locked="0"/>
    </xf>
    <xf numFmtId="0" fontId="0" fillId="3" borderId="17" xfId="0" applyFill="1" applyBorder="1" applyAlignment="1" applyProtection="1">
      <protection locked="0"/>
    </xf>
    <xf numFmtId="0" fontId="0" fillId="3" borderId="57" xfId="0" applyFill="1" applyBorder="1" applyProtection="1">
      <protection locked="0"/>
    </xf>
    <xf numFmtId="0" fontId="0" fillId="3" borderId="36" xfId="0" applyFill="1" applyBorder="1" applyProtection="1">
      <protection locked="0"/>
    </xf>
    <xf numFmtId="0" fontId="0" fillId="3" borderId="30" xfId="0" applyFill="1" applyBorder="1" applyProtection="1">
      <protection locked="0"/>
    </xf>
    <xf numFmtId="44" fontId="0" fillId="3" borderId="0" xfId="4" applyFont="1" applyFill="1" applyProtection="1">
      <protection locked="0"/>
    </xf>
  </cellXfs>
  <cellStyles count="5">
    <cellStyle name="Moeda" xfId="4" builtinId="4"/>
    <cellStyle name="Normal" xfId="0" builtinId="0"/>
    <cellStyle name="Normal 2" xfId="3"/>
    <cellStyle name="Porcentagem" xfId="2" builtinId="5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'DADOS TÉCNICOS MENSAIS'!$A$6</c:f>
              <c:strCache>
                <c:ptCount val="1"/>
                <c:pt idx="0">
                  <c:v>MÉDIA Litros/dia (L)</c:v>
                </c:pt>
              </c:strCache>
            </c:strRef>
          </c:tx>
          <c:val>
            <c:numRef>
              <c:f>'DADOS TÉCNICOS MENSAIS'!$B$6:$N$6</c:f>
              <c:numCache>
                <c:formatCode>General</c:formatCode>
                <c:ptCount val="13"/>
                <c:pt idx="1">
                  <c:v>55.4</c:v>
                </c:pt>
                <c:pt idx="2">
                  <c:v>49.2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'DADOS TÉCNICOS MENSAIS'!$A$7</c:f>
              <c:strCache>
                <c:ptCount val="1"/>
                <c:pt idx="0">
                  <c:v>Total Litros/ Mês (L)</c:v>
                </c:pt>
              </c:strCache>
            </c:strRef>
          </c:tx>
          <c:val>
            <c:numRef>
              <c:f>'DADOS TÉCNICOS MENSAIS'!$B$7:$N$7</c:f>
              <c:numCache>
                <c:formatCode>0</c:formatCode>
                <c:ptCount val="13"/>
                <c:pt idx="1">
                  <c:v>1662</c:v>
                </c:pt>
                <c:pt idx="2">
                  <c:v>1476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255296"/>
        <c:axId val="85256832"/>
      </c:lineChart>
      <c:catAx>
        <c:axId val="85255296"/>
        <c:scaling>
          <c:orientation val="minMax"/>
        </c:scaling>
        <c:delete val="0"/>
        <c:axPos val="b"/>
        <c:majorTickMark val="out"/>
        <c:minorTickMark val="none"/>
        <c:tickLblPos val="nextTo"/>
        <c:crossAx val="85256832"/>
        <c:crosses val="autoZero"/>
        <c:auto val="1"/>
        <c:lblAlgn val="ctr"/>
        <c:lblOffset val="100"/>
        <c:noMultiLvlLbl val="0"/>
      </c:catAx>
      <c:valAx>
        <c:axId val="85256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5255296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10</xdr:row>
          <xdr:rowOff>95250</xdr:rowOff>
        </xdr:from>
        <xdr:to>
          <xdr:col>6</xdr:col>
          <xdr:colOff>238125</xdr:colOff>
          <xdr:row>13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Perfil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14</xdr:row>
          <xdr:rowOff>76200</xdr:rowOff>
        </xdr:from>
        <xdr:to>
          <xdr:col>6</xdr:col>
          <xdr:colOff>238125</xdr:colOff>
          <xdr:row>17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Inventário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18</xdr:row>
          <xdr:rowOff>66675</xdr:rowOff>
        </xdr:from>
        <xdr:to>
          <xdr:col>6</xdr:col>
          <xdr:colOff>238125</xdr:colOff>
          <xdr:row>21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Dados Econômicos Mensais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10</xdr:row>
          <xdr:rowOff>76200</xdr:rowOff>
        </xdr:from>
        <xdr:to>
          <xdr:col>9</xdr:col>
          <xdr:colOff>600075</xdr:colOff>
          <xdr:row>13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Dados Técnicos Mensais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18</xdr:row>
          <xdr:rowOff>66675</xdr:rowOff>
        </xdr:from>
        <xdr:to>
          <xdr:col>9</xdr:col>
          <xdr:colOff>600075</xdr:colOff>
          <xdr:row>21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Indicadores Técnicos Mensais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10</xdr:row>
          <xdr:rowOff>76200</xdr:rowOff>
        </xdr:from>
        <xdr:to>
          <xdr:col>16</xdr:col>
          <xdr:colOff>428625</xdr:colOff>
          <xdr:row>13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Análises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14</xdr:row>
          <xdr:rowOff>76200</xdr:rowOff>
        </xdr:from>
        <xdr:to>
          <xdr:col>9</xdr:col>
          <xdr:colOff>600075</xdr:colOff>
          <xdr:row>17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Indicadores Econômicos Mensais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266700</xdr:colOff>
      <xdr:row>0</xdr:row>
      <xdr:rowOff>260985</xdr:rowOff>
    </xdr:from>
    <xdr:to>
      <xdr:col>20</xdr:col>
      <xdr:colOff>28575</xdr:colOff>
      <xdr:row>5</xdr:row>
      <xdr:rowOff>85725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9500" y="260985"/>
          <a:ext cx="981075" cy="117729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200045</xdr:colOff>
      <xdr:row>0</xdr:row>
      <xdr:rowOff>161925</xdr:rowOff>
    </xdr:from>
    <xdr:to>
      <xdr:col>1</xdr:col>
      <xdr:colOff>399820</xdr:colOff>
      <xdr:row>5</xdr:row>
      <xdr:rowOff>141375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45" y="161925"/>
          <a:ext cx="809375" cy="133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14</xdr:row>
          <xdr:rowOff>76200</xdr:rowOff>
        </xdr:from>
        <xdr:to>
          <xdr:col>16</xdr:col>
          <xdr:colOff>428625</xdr:colOff>
          <xdr:row>17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18</xdr:row>
          <xdr:rowOff>66675</xdr:rowOff>
        </xdr:from>
        <xdr:to>
          <xdr:col>16</xdr:col>
          <xdr:colOff>428625</xdr:colOff>
          <xdr:row>21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Retorno Mensal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438150</xdr:colOff>
          <xdr:row>10</xdr:row>
          <xdr:rowOff>76200</xdr:rowOff>
        </xdr:from>
        <xdr:to>
          <xdr:col>13</xdr:col>
          <xdr:colOff>228600</xdr:colOff>
          <xdr:row>13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Indicadores econômicos Anuais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438150</xdr:colOff>
          <xdr:row>14</xdr:row>
          <xdr:rowOff>76200</xdr:rowOff>
        </xdr:from>
        <xdr:to>
          <xdr:col>13</xdr:col>
          <xdr:colOff>228600</xdr:colOff>
          <xdr:row>17</xdr:row>
          <xdr:rowOff>76200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Indicadores Técnicos Anuais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438150</xdr:colOff>
          <xdr:row>18</xdr:row>
          <xdr:rowOff>66675</xdr:rowOff>
        </xdr:from>
        <xdr:to>
          <xdr:col>13</xdr:col>
          <xdr:colOff>228600</xdr:colOff>
          <xdr:row>21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Cálculo de Ração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800100</xdr:colOff>
          <xdr:row>1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0</xdr:col>
          <xdr:colOff>790575</xdr:colOff>
          <xdr:row>1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1</xdr:col>
          <xdr:colOff>428625</xdr:colOff>
          <xdr:row>1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428625</xdr:colOff>
          <xdr:row>1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28575</xdr:rowOff>
        </xdr:from>
        <xdr:to>
          <xdr:col>1</xdr:col>
          <xdr:colOff>428625</xdr:colOff>
          <xdr:row>1</xdr:row>
          <xdr:rowOff>28575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1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171450</xdr:colOff>
          <xdr:row>1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38100</xdr:colOff>
          <xdr:row>0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190500</xdr:colOff>
          <xdr:row>1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4</xdr:row>
      <xdr:rowOff>0</xdr:rowOff>
    </xdr:from>
    <xdr:to>
      <xdr:col>8</xdr:col>
      <xdr:colOff>304800</xdr:colOff>
      <xdr:row>18</xdr:row>
      <xdr:rowOff>76200</xdr:rowOff>
    </xdr:to>
    <xdr:graphicFrame macro="">
      <xdr:nvGraphicFramePr>
        <xdr:cNvPr id="5" name="Gráfico 4" title="Produção Mensal de Leit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190500</xdr:colOff>
          <xdr:row>1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ERSONAL"/>
    </sheetNames>
    <definedNames>
      <definedName name="Menu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T14"/>
  <sheetViews>
    <sheetView tabSelected="1" workbookViewId="0">
      <selection activeCell="D6" sqref="D6"/>
    </sheetView>
  </sheetViews>
  <sheetFormatPr defaultRowHeight="15" x14ac:dyDescent="0.25"/>
  <cols>
    <col min="1" max="16384" width="9.140625" style="1"/>
  </cols>
  <sheetData>
    <row r="1" spans="1:20" ht="26.25" x14ac:dyDescent="0.4">
      <c r="A1" s="263" t="s">
        <v>0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  <c r="P1" s="263"/>
      <c r="Q1" s="263"/>
      <c r="R1" s="263"/>
      <c r="S1" s="263"/>
      <c r="T1" s="263"/>
    </row>
    <row r="2" spans="1:20" ht="26.25" x14ac:dyDescent="0.4">
      <c r="A2" s="263" t="s">
        <v>1</v>
      </c>
      <c r="B2" s="263"/>
      <c r="C2" s="263"/>
      <c r="D2" s="263"/>
      <c r="E2" s="263"/>
      <c r="F2" s="263"/>
      <c r="G2" s="263"/>
      <c r="H2" s="263"/>
      <c r="I2" s="263"/>
      <c r="J2" s="263"/>
      <c r="K2" s="263"/>
      <c r="L2" s="263"/>
      <c r="M2" s="263"/>
      <c r="N2" s="263"/>
      <c r="O2" s="263"/>
      <c r="P2" s="263"/>
      <c r="Q2" s="263"/>
      <c r="R2" s="263"/>
      <c r="S2" s="263"/>
      <c r="T2" s="263"/>
    </row>
    <row r="3" spans="1:20" ht="23.25" x14ac:dyDescent="0.35">
      <c r="A3" s="264"/>
      <c r="B3" s="264"/>
      <c r="C3" s="264"/>
      <c r="D3" s="264"/>
      <c r="E3" s="264"/>
      <c r="F3" s="264"/>
      <c r="G3" s="264"/>
      <c r="H3" s="264"/>
      <c r="I3" s="264"/>
      <c r="J3" s="264"/>
      <c r="K3" s="264"/>
      <c r="L3" s="264"/>
      <c r="M3" s="264"/>
      <c r="N3" s="264"/>
      <c r="O3" s="264"/>
      <c r="P3" s="264"/>
      <c r="Q3" s="264"/>
      <c r="R3" s="264"/>
      <c r="S3" s="264"/>
      <c r="T3" s="264"/>
    </row>
    <row r="4" spans="1:20" ht="15.75" thickBot="1" x14ac:dyDescent="0.3"/>
    <row r="5" spans="1:20" x14ac:dyDescent="0.25">
      <c r="I5" s="60" t="s">
        <v>2</v>
      </c>
      <c r="J5" s="265" t="str">
        <f>PERFIL!B3</f>
        <v>Adriana Veloso da Silva</v>
      </c>
      <c r="K5" s="265"/>
      <c r="L5" s="265"/>
      <c r="M5" s="266"/>
      <c r="N5" s="5"/>
    </row>
    <row r="6" spans="1:20" x14ac:dyDescent="0.25">
      <c r="I6" s="61" t="s">
        <v>140</v>
      </c>
      <c r="J6" s="259">
        <f>PERFIL!B5</f>
        <v>8.8000000000000007</v>
      </c>
      <c r="K6" s="259"/>
      <c r="L6" s="259"/>
      <c r="M6" s="260"/>
      <c r="N6" s="5"/>
    </row>
    <row r="7" spans="1:20" ht="15.75" thickBot="1" x14ac:dyDescent="0.3">
      <c r="I7" s="62" t="s">
        <v>272</v>
      </c>
      <c r="J7" s="261" t="str">
        <f>PERFIL!B4</f>
        <v>São Bento do Una</v>
      </c>
      <c r="K7" s="261"/>
      <c r="L7" s="261"/>
      <c r="M7" s="262"/>
      <c r="N7" s="5"/>
    </row>
    <row r="8" spans="1:20" x14ac:dyDescent="0.25">
      <c r="F8" s="5"/>
      <c r="G8" s="5"/>
      <c r="H8" s="5"/>
      <c r="I8" s="5"/>
      <c r="J8" s="5"/>
      <c r="K8" s="5"/>
    </row>
    <row r="9" spans="1:20" x14ac:dyDescent="0.25">
      <c r="F9" s="5"/>
      <c r="G9" s="5"/>
      <c r="H9" s="5"/>
      <c r="I9" s="5"/>
      <c r="J9" s="5"/>
      <c r="K9" s="5"/>
    </row>
    <row r="14" spans="1:20" x14ac:dyDescent="0.25">
      <c r="K14" s="2"/>
    </row>
  </sheetData>
  <mergeCells count="6">
    <mergeCell ref="J6:M6"/>
    <mergeCell ref="J7:M7"/>
    <mergeCell ref="A1:T1"/>
    <mergeCell ref="A2:T2"/>
    <mergeCell ref="A3:T3"/>
    <mergeCell ref="J5:M5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erfil">
                <anchor moveWithCells="1" sizeWithCells="1">
                  <from>
                    <xdr:col>3</xdr:col>
                    <xdr:colOff>447675</xdr:colOff>
                    <xdr:row>10</xdr:row>
                    <xdr:rowOff>95250</xdr:rowOff>
                  </from>
                  <to>
                    <xdr:col>6</xdr:col>
                    <xdr:colOff>238125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ventário">
                <anchor moveWithCells="1" sizeWithCells="1">
                  <from>
                    <xdr:col>3</xdr:col>
                    <xdr:colOff>447675</xdr:colOff>
                    <xdr:row>14</xdr:row>
                    <xdr:rowOff>76200</xdr:rowOff>
                  </from>
                  <to>
                    <xdr:col>6</xdr:col>
                    <xdr:colOff>238125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ados_economicos_mensais">
                <anchor moveWithCells="1" sizeWithCells="1">
                  <from>
                    <xdr:col>3</xdr:col>
                    <xdr:colOff>447675</xdr:colOff>
                    <xdr:row>18</xdr:row>
                    <xdr:rowOff>66675</xdr:rowOff>
                  </from>
                  <to>
                    <xdr:col>6</xdr:col>
                    <xdr:colOff>238125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ados_tecnicos_mensais">
                <anchor moveWithCells="1" sizeWithCells="1">
                  <from>
                    <xdr:col>7</xdr:col>
                    <xdr:colOff>200025</xdr:colOff>
                    <xdr:row>10</xdr:row>
                    <xdr:rowOff>76200</xdr:rowOff>
                  </from>
                  <to>
                    <xdr:col>9</xdr:col>
                    <xdr:colOff>600075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ndicadores_tecnicos_mensais">
                <anchor moveWithCells="1" sizeWithCells="1">
                  <from>
                    <xdr:col>7</xdr:col>
                    <xdr:colOff>200025</xdr:colOff>
                    <xdr:row>18</xdr:row>
                    <xdr:rowOff>66675</xdr:rowOff>
                  </from>
                  <to>
                    <xdr:col>9</xdr:col>
                    <xdr:colOff>600075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Análises">
                <anchor moveWithCells="1" sizeWithCells="1">
                  <from>
                    <xdr:col>14</xdr:col>
                    <xdr:colOff>28575</xdr:colOff>
                    <xdr:row>10</xdr:row>
                    <xdr:rowOff>76200</xdr:rowOff>
                  </from>
                  <to>
                    <xdr:col>16</xdr:col>
                    <xdr:colOff>428625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indicadores_economicos_mensais">
                <anchor moveWithCells="1" sizeWithCells="1">
                  <from>
                    <xdr:col>7</xdr:col>
                    <xdr:colOff>200025</xdr:colOff>
                    <xdr:row>14</xdr:row>
                    <xdr:rowOff>76200</xdr:rowOff>
                  </from>
                  <to>
                    <xdr:col>9</xdr:col>
                    <xdr:colOff>600075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Gráficos">
                <anchor moveWithCells="1" sizeWithCells="1">
                  <from>
                    <xdr:col>14</xdr:col>
                    <xdr:colOff>28575</xdr:colOff>
                    <xdr:row>14</xdr:row>
                    <xdr:rowOff>76200</xdr:rowOff>
                  </from>
                  <to>
                    <xdr:col>16</xdr:col>
                    <xdr:colOff>428625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torno_mensal">
                <anchor moveWithCells="1" sizeWithCells="1">
                  <from>
                    <xdr:col>14</xdr:col>
                    <xdr:colOff>28575</xdr:colOff>
                    <xdr:row>18</xdr:row>
                    <xdr:rowOff>66675</xdr:rowOff>
                  </from>
                  <to>
                    <xdr:col>16</xdr:col>
                    <xdr:colOff>428625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Indicadores_economicos_anuais">
                <anchor moveWithCells="1" sizeWithCells="1">
                  <from>
                    <xdr:col>10</xdr:col>
                    <xdr:colOff>438150</xdr:colOff>
                    <xdr:row>10</xdr:row>
                    <xdr:rowOff>76200</xdr:rowOff>
                  </from>
                  <to>
                    <xdr:col>13</xdr:col>
                    <xdr:colOff>228600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Indicadores_tecnicos_anuais">
                <anchor moveWithCells="1" sizeWithCells="1">
                  <from>
                    <xdr:col>10</xdr:col>
                    <xdr:colOff>438150</xdr:colOff>
                    <xdr:row>14</xdr:row>
                    <xdr:rowOff>76200</xdr:rowOff>
                  </from>
                  <to>
                    <xdr:col>13</xdr:col>
                    <xdr:colOff>228600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INDICADORES">
                <anchor moveWithCells="1" sizeWithCells="1">
                  <from>
                    <xdr:col>10</xdr:col>
                    <xdr:colOff>438150</xdr:colOff>
                    <xdr:row>18</xdr:row>
                    <xdr:rowOff>66675</xdr:rowOff>
                  </from>
                  <to>
                    <xdr:col>13</xdr:col>
                    <xdr:colOff>228600</xdr:colOff>
                    <xdr:row>21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3:G10"/>
  <sheetViews>
    <sheetView workbookViewId="0">
      <selection activeCell="B8" sqref="B8"/>
    </sheetView>
  </sheetViews>
  <sheetFormatPr defaultRowHeight="15" x14ac:dyDescent="0.25"/>
  <cols>
    <col min="1" max="1" width="37.7109375" style="1" bestFit="1" customWidth="1"/>
    <col min="2" max="16384" width="9.140625" style="1"/>
  </cols>
  <sheetData>
    <row r="3" spans="1:7" x14ac:dyDescent="0.25">
      <c r="A3" s="1" t="s">
        <v>163</v>
      </c>
      <c r="B3" s="409" t="s">
        <v>397</v>
      </c>
      <c r="C3" s="409"/>
      <c r="D3" s="409"/>
      <c r="E3" s="409"/>
      <c r="F3" s="409"/>
      <c r="G3" s="409"/>
    </row>
    <row r="4" spans="1:7" x14ac:dyDescent="0.25">
      <c r="A4" s="1" t="s">
        <v>272</v>
      </c>
      <c r="B4" s="409" t="s">
        <v>398</v>
      </c>
      <c r="C4" s="409"/>
      <c r="D4" s="409"/>
      <c r="E4" s="409"/>
      <c r="F4" s="409"/>
      <c r="G4" s="409"/>
    </row>
    <row r="5" spans="1:7" x14ac:dyDescent="0.25">
      <c r="A5" s="1" t="s">
        <v>405</v>
      </c>
      <c r="B5" s="409">
        <v>8.8000000000000007</v>
      </c>
    </row>
    <row r="6" spans="1:7" x14ac:dyDescent="0.25">
      <c r="A6" s="1" t="s">
        <v>404</v>
      </c>
      <c r="B6" s="409">
        <v>8.8000000000000007</v>
      </c>
    </row>
    <row r="7" spans="1:7" x14ac:dyDescent="0.25">
      <c r="A7" s="1" t="s">
        <v>164</v>
      </c>
      <c r="B7" s="409">
        <v>24</v>
      </c>
    </row>
    <row r="8" spans="1:7" x14ac:dyDescent="0.25">
      <c r="A8" s="1" t="s">
        <v>165</v>
      </c>
      <c r="B8" s="468">
        <v>0.877</v>
      </c>
    </row>
    <row r="9" spans="1:7" x14ac:dyDescent="0.25">
      <c r="A9" s="1" t="s">
        <v>166</v>
      </c>
      <c r="B9" s="409">
        <v>0</v>
      </c>
    </row>
    <row r="10" spans="1:7" x14ac:dyDescent="0.25">
      <c r="A10" s="1" t="s">
        <v>167</v>
      </c>
      <c r="B10" s="409">
        <v>1</v>
      </c>
    </row>
  </sheetData>
  <sheetProtection sheet="1" objects="1" scenarios="1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2:N133"/>
  <sheetViews>
    <sheetView zoomScale="70" zoomScaleNormal="70" workbookViewId="0">
      <selection activeCell="J15" sqref="J15"/>
    </sheetView>
  </sheetViews>
  <sheetFormatPr defaultRowHeight="15" x14ac:dyDescent="0.25"/>
  <cols>
    <col min="1" max="1" width="59.5703125" style="1" bestFit="1" customWidth="1"/>
    <col min="2" max="2" width="20.28515625" style="1" customWidth="1"/>
    <col min="3" max="3" width="13.7109375" style="1" customWidth="1"/>
    <col min="4" max="4" width="15.28515625" style="1" customWidth="1"/>
    <col min="5" max="5" width="18.140625" style="1" customWidth="1"/>
    <col min="6" max="6" width="20.28515625" style="1" bestFit="1" customWidth="1"/>
    <col min="7" max="7" width="13.28515625" style="1" customWidth="1"/>
    <col min="8" max="8" width="14" style="1" customWidth="1"/>
    <col min="9" max="9" width="43.5703125" style="1" bestFit="1" customWidth="1"/>
    <col min="10" max="10" width="15" style="1" bestFit="1" customWidth="1"/>
    <col min="11" max="16384" width="9.140625" style="1"/>
  </cols>
  <sheetData>
    <row r="2" spans="1:14" x14ac:dyDescent="0.25">
      <c r="A2" s="272" t="s">
        <v>269</v>
      </c>
      <c r="B2" s="272"/>
      <c r="C2" s="272"/>
      <c r="D2" s="272"/>
      <c r="E2" s="272"/>
    </row>
    <row r="3" spans="1:14" x14ac:dyDescent="0.25">
      <c r="A3" s="272"/>
      <c r="B3" s="272"/>
      <c r="C3" s="272"/>
      <c r="D3" s="272"/>
      <c r="E3" s="272"/>
    </row>
    <row r="4" spans="1:14" x14ac:dyDescent="0.25">
      <c r="A4" s="272"/>
      <c r="B4" s="272"/>
      <c r="C4" s="272"/>
      <c r="D4" s="272"/>
      <c r="E4" s="272"/>
    </row>
    <row r="5" spans="1:14" ht="23.25" x14ac:dyDescent="0.35">
      <c r="A5" s="160" t="s">
        <v>168</v>
      </c>
      <c r="B5" s="161"/>
      <c r="C5" s="162"/>
      <c r="D5" s="162"/>
      <c r="E5" s="162"/>
      <c r="F5" s="163"/>
      <c r="I5" s="267" t="s">
        <v>361</v>
      </c>
      <c r="J5" s="268"/>
      <c r="K5" s="3"/>
      <c r="L5" s="3"/>
      <c r="M5" s="3"/>
      <c r="N5" s="3"/>
    </row>
    <row r="6" spans="1:14" x14ac:dyDescent="0.25">
      <c r="A6" s="164"/>
      <c r="B6" s="273" t="s">
        <v>169</v>
      </c>
      <c r="C6" s="274"/>
      <c r="D6" s="270" t="s">
        <v>170</v>
      </c>
      <c r="E6" s="274"/>
      <c r="F6" s="165"/>
      <c r="I6" s="247"/>
      <c r="J6" s="250"/>
    </row>
    <row r="7" spans="1:14" x14ac:dyDescent="0.25">
      <c r="A7" s="63"/>
      <c r="B7" s="275" t="s">
        <v>171</v>
      </c>
      <c r="C7" s="276"/>
      <c r="D7" s="275" t="s">
        <v>171</v>
      </c>
      <c r="E7" s="276"/>
      <c r="F7" s="64" t="s">
        <v>172</v>
      </c>
      <c r="I7" s="14" t="s">
        <v>357</v>
      </c>
      <c r="J7" s="251">
        <f>F42</f>
        <v>0</v>
      </c>
    </row>
    <row r="8" spans="1:14" x14ac:dyDescent="0.25">
      <c r="A8" s="65" t="s">
        <v>139</v>
      </c>
      <c r="B8" s="63" t="s">
        <v>173</v>
      </c>
      <c r="C8" s="63" t="s">
        <v>174</v>
      </c>
      <c r="D8" s="63" t="s">
        <v>173</v>
      </c>
      <c r="E8" s="63" t="s">
        <v>174</v>
      </c>
      <c r="F8" s="66" t="s">
        <v>174</v>
      </c>
      <c r="I8" s="14" t="s">
        <v>362</v>
      </c>
      <c r="J8" s="252">
        <f>B76</f>
        <v>120</v>
      </c>
    </row>
    <row r="9" spans="1:14" x14ac:dyDescent="0.25">
      <c r="A9" s="67"/>
      <c r="B9" s="67" t="s">
        <v>175</v>
      </c>
      <c r="C9" s="67"/>
      <c r="D9" s="67" t="s">
        <v>175</v>
      </c>
      <c r="E9" s="67"/>
      <c r="F9" s="68" t="s">
        <v>176</v>
      </c>
      <c r="I9" s="14" t="s">
        <v>363</v>
      </c>
      <c r="J9" s="252">
        <f>B72</f>
        <v>0</v>
      </c>
    </row>
    <row r="10" spans="1:14" x14ac:dyDescent="0.25">
      <c r="A10" s="410" t="s">
        <v>177</v>
      </c>
      <c r="B10" s="69"/>
      <c r="C10" s="69"/>
      <c r="D10" s="69"/>
      <c r="E10" s="69"/>
      <c r="F10" s="70"/>
      <c r="I10" s="14" t="s">
        <v>359</v>
      </c>
      <c r="J10" s="253">
        <f>G102</f>
        <v>4788.333333333333</v>
      </c>
    </row>
    <row r="11" spans="1:14" x14ac:dyDescent="0.25">
      <c r="A11" s="411" t="s">
        <v>178</v>
      </c>
      <c r="B11" s="69"/>
      <c r="C11" s="69"/>
      <c r="D11" s="69"/>
      <c r="E11" s="69"/>
      <c r="F11" s="70"/>
      <c r="I11" s="14" t="s">
        <v>360</v>
      </c>
      <c r="J11" s="254">
        <f>G133</f>
        <v>540</v>
      </c>
    </row>
    <row r="12" spans="1:14" x14ac:dyDescent="0.25">
      <c r="A12" s="410" t="s">
        <v>179</v>
      </c>
      <c r="B12" s="69"/>
      <c r="C12" s="69"/>
      <c r="D12" s="69"/>
      <c r="E12" s="69"/>
      <c r="F12" s="70"/>
      <c r="I12" s="45"/>
      <c r="J12" s="244"/>
    </row>
    <row r="13" spans="1:14" x14ac:dyDescent="0.25">
      <c r="A13" s="71" t="s">
        <v>180</v>
      </c>
      <c r="B13" s="69"/>
      <c r="C13" s="69"/>
      <c r="D13" s="69"/>
      <c r="E13" s="69"/>
      <c r="F13" s="70"/>
      <c r="I13" s="255" t="s">
        <v>129</v>
      </c>
      <c r="J13" s="249">
        <f>SUM(J6:J12)</f>
        <v>5448.333333333333</v>
      </c>
    </row>
    <row r="14" spans="1:14" x14ac:dyDescent="0.25">
      <c r="A14" s="72" t="s">
        <v>399</v>
      </c>
      <c r="B14" s="73"/>
      <c r="C14" s="73">
        <v>3</v>
      </c>
      <c r="D14" s="73"/>
      <c r="E14" s="73"/>
      <c r="F14" s="74">
        <v>12000</v>
      </c>
      <c r="I14" s="1" t="s">
        <v>393</v>
      </c>
      <c r="J14" s="414">
        <v>0.8</v>
      </c>
    </row>
    <row r="15" spans="1:14" x14ac:dyDescent="0.25">
      <c r="A15" s="412" t="s">
        <v>181</v>
      </c>
      <c r="B15" s="73"/>
      <c r="C15" s="73"/>
      <c r="D15" s="73"/>
      <c r="E15" s="73"/>
      <c r="F15" s="74"/>
      <c r="I15" s="1" t="s">
        <v>394</v>
      </c>
      <c r="J15" s="322">
        <f>J14*J13</f>
        <v>4358.666666666667</v>
      </c>
    </row>
    <row r="16" spans="1:14" x14ac:dyDescent="0.25">
      <c r="A16" s="413" t="s">
        <v>182</v>
      </c>
      <c r="B16" s="73"/>
      <c r="C16" s="73"/>
      <c r="D16" s="73"/>
      <c r="E16" s="73"/>
      <c r="F16" s="74"/>
    </row>
    <row r="17" spans="1:10" x14ac:dyDescent="0.25">
      <c r="A17" s="75" t="s">
        <v>183</v>
      </c>
      <c r="B17" s="73"/>
      <c r="C17" s="73"/>
      <c r="D17" s="73"/>
      <c r="E17" s="73"/>
      <c r="F17" s="74"/>
      <c r="I17" s="267" t="s">
        <v>355</v>
      </c>
      <c r="J17" s="268"/>
    </row>
    <row r="18" spans="1:10" x14ac:dyDescent="0.25">
      <c r="A18" s="76" t="s">
        <v>184</v>
      </c>
      <c r="B18" s="73"/>
      <c r="C18" s="73">
        <v>2.8</v>
      </c>
      <c r="D18" s="77"/>
      <c r="E18" s="73"/>
      <c r="F18" s="74">
        <v>12000</v>
      </c>
      <c r="I18" s="247" t="s">
        <v>356</v>
      </c>
      <c r="J18" s="250">
        <f>B25</f>
        <v>52800</v>
      </c>
    </row>
    <row r="19" spans="1:10" x14ac:dyDescent="0.25">
      <c r="A19" s="76" t="s">
        <v>185</v>
      </c>
      <c r="B19" s="73"/>
      <c r="C19" s="73"/>
      <c r="D19" s="77"/>
      <c r="E19" s="73"/>
      <c r="F19" s="74"/>
      <c r="I19" s="14" t="s">
        <v>357</v>
      </c>
      <c r="J19" s="251">
        <f>F42</f>
        <v>0</v>
      </c>
    </row>
    <row r="20" spans="1:10" x14ac:dyDescent="0.25">
      <c r="A20" s="76" t="s">
        <v>186</v>
      </c>
      <c r="B20" s="73"/>
      <c r="C20" s="73">
        <v>3</v>
      </c>
      <c r="D20" s="77"/>
      <c r="E20" s="73"/>
      <c r="F20" s="74">
        <v>12000</v>
      </c>
      <c r="I20" s="14" t="s">
        <v>358</v>
      </c>
      <c r="J20" s="252">
        <f>B64</f>
        <v>0</v>
      </c>
    </row>
    <row r="21" spans="1:10" x14ac:dyDescent="0.25">
      <c r="A21" s="75" t="s">
        <v>187</v>
      </c>
      <c r="B21" s="73"/>
      <c r="C21" s="73"/>
      <c r="D21" s="77"/>
      <c r="E21" s="73"/>
      <c r="F21" s="70"/>
      <c r="I21" s="14" t="s">
        <v>364</v>
      </c>
      <c r="J21" s="252">
        <f>E102</f>
        <v>49000</v>
      </c>
    </row>
    <row r="22" spans="1:10" x14ac:dyDescent="0.25">
      <c r="A22" s="78" t="s">
        <v>188</v>
      </c>
      <c r="B22" s="79">
        <f>SUM(B10:B21)</f>
        <v>0</v>
      </c>
      <c r="C22" s="79">
        <f>SUM(C10:C21)</f>
        <v>8.8000000000000007</v>
      </c>
      <c r="D22" s="79">
        <f>SUM(D10:D21)</f>
        <v>0</v>
      </c>
      <c r="E22" s="80">
        <f>SUM(E10:E21)</f>
        <v>0</v>
      </c>
      <c r="F22" s="166"/>
      <c r="I22" s="14" t="s">
        <v>360</v>
      </c>
      <c r="J22" s="253">
        <f>E133</f>
        <v>4800</v>
      </c>
    </row>
    <row r="23" spans="1:10" x14ac:dyDescent="0.25">
      <c r="A23" s="81" t="s">
        <v>189</v>
      </c>
      <c r="B23" s="277">
        <f>C22+B22</f>
        <v>8.8000000000000007</v>
      </c>
      <c r="C23" s="278"/>
      <c r="D23" s="279">
        <f>E22+D22</f>
        <v>0</v>
      </c>
      <c r="E23" s="280"/>
      <c r="F23" s="166"/>
      <c r="I23" s="14"/>
      <c r="J23" s="254"/>
    </row>
    <row r="24" spans="1:10" x14ac:dyDescent="0.25">
      <c r="A24" s="82" t="s">
        <v>190</v>
      </c>
      <c r="B24" s="281">
        <f>$F$10*(C10)+F11*C11+$F$12*(C12)+$F$13*(C13)+$F$14*(C14)+$F$15*(C15)+$F$16*(C16)+$F$17*C17+$F$18*C18+$F$19*C19+$F$20*C20+$F$21*C21</f>
        <v>105600</v>
      </c>
      <c r="C24" s="282"/>
      <c r="D24" s="283">
        <f>$F$10*(E10)+F11*E11+$F$12*(E12)+$F$13*(E13)+$F$14*(E14)+$F$15*(E15)+$F$16*(E16)+$F$17*E17+$F$18*E18+$F$16*E19+$F$20*E20+$F$21*E21</f>
        <v>0</v>
      </c>
      <c r="E24" s="284"/>
      <c r="F24" s="167"/>
      <c r="I24" s="45"/>
      <c r="J24" s="244"/>
    </row>
    <row r="25" spans="1:10" x14ac:dyDescent="0.25">
      <c r="A25" s="83" t="s">
        <v>191</v>
      </c>
      <c r="B25" s="283">
        <f>(B24+D24)/2</f>
        <v>52800</v>
      </c>
      <c r="C25" s="285"/>
      <c r="D25" s="285"/>
      <c r="E25" s="285"/>
      <c r="F25" s="168"/>
      <c r="I25" s="255" t="s">
        <v>129</v>
      </c>
      <c r="J25" s="249">
        <f>SUM(J18:J24)</f>
        <v>106600</v>
      </c>
    </row>
    <row r="26" spans="1:10" x14ac:dyDescent="0.25">
      <c r="A26" s="169"/>
      <c r="B26" s="170"/>
      <c r="C26" s="171"/>
      <c r="D26" s="171"/>
      <c r="E26" s="171"/>
      <c r="F26" s="172"/>
      <c r="I26" s="1" t="s">
        <v>365</v>
      </c>
      <c r="J26" s="414">
        <v>0.06</v>
      </c>
    </row>
    <row r="27" spans="1:10" x14ac:dyDescent="0.25">
      <c r="F27" s="173"/>
    </row>
    <row r="28" spans="1:10" x14ac:dyDescent="0.25">
      <c r="A28" s="85" t="s">
        <v>192</v>
      </c>
      <c r="B28" s="86"/>
      <c r="C28" s="86"/>
      <c r="D28" s="86"/>
      <c r="E28" s="86" t="s">
        <v>193</v>
      </c>
      <c r="F28" s="87" t="s">
        <v>194</v>
      </c>
    </row>
    <row r="29" spans="1:10" x14ac:dyDescent="0.25">
      <c r="A29" s="88" t="s">
        <v>195</v>
      </c>
      <c r="B29" s="89" t="s">
        <v>196</v>
      </c>
      <c r="C29" s="89" t="s">
        <v>197</v>
      </c>
      <c r="D29" s="89" t="s">
        <v>198</v>
      </c>
      <c r="E29" s="89" t="s">
        <v>199</v>
      </c>
      <c r="F29" s="89" t="s">
        <v>25</v>
      </c>
    </row>
    <row r="30" spans="1:10" x14ac:dyDescent="0.25">
      <c r="A30" s="415" t="str">
        <f t="shared" ref="A30:A41" si="0">A10</f>
        <v>Pastagem - Capim gordura</v>
      </c>
      <c r="B30" s="416"/>
      <c r="C30" s="90">
        <f t="shared" ref="C30:C37" si="1">(C10+E10)/2</f>
        <v>0</v>
      </c>
      <c r="D30" s="91">
        <f t="shared" ref="D30:D41" si="2">C30*B30</f>
        <v>0</v>
      </c>
      <c r="E30" s="417">
        <v>1</v>
      </c>
      <c r="F30" s="91">
        <f>D30/E30</f>
        <v>0</v>
      </c>
    </row>
    <row r="31" spans="1:10" x14ac:dyDescent="0.25">
      <c r="A31" s="415" t="str">
        <f t="shared" si="0"/>
        <v>Pastagem - moçamba</v>
      </c>
      <c r="B31" s="416"/>
      <c r="C31" s="90">
        <f t="shared" si="1"/>
        <v>0</v>
      </c>
      <c r="D31" s="91">
        <f t="shared" si="2"/>
        <v>0</v>
      </c>
      <c r="E31" s="417">
        <v>1</v>
      </c>
      <c r="F31" s="91">
        <f t="shared" ref="F31:F41" si="3">D31/E31</f>
        <v>0</v>
      </c>
    </row>
    <row r="32" spans="1:10" x14ac:dyDescent="0.25">
      <c r="A32" s="415" t="str">
        <f>A12</f>
        <v>Pastagem - braquiaria decumbens</v>
      </c>
      <c r="B32" s="416"/>
      <c r="C32" s="90">
        <f t="shared" si="1"/>
        <v>0</v>
      </c>
      <c r="D32" s="91">
        <f t="shared" si="2"/>
        <v>0</v>
      </c>
      <c r="E32" s="417">
        <v>1</v>
      </c>
      <c r="F32" s="91">
        <f t="shared" si="3"/>
        <v>0</v>
      </c>
    </row>
    <row r="33" spans="1:10" x14ac:dyDescent="0.25">
      <c r="A33" s="415" t="str">
        <f>A13</f>
        <v>Pastagem - Tifton</v>
      </c>
      <c r="B33" s="416"/>
      <c r="C33" s="90">
        <f t="shared" si="1"/>
        <v>0</v>
      </c>
      <c r="D33" s="91">
        <f t="shared" si="2"/>
        <v>0</v>
      </c>
      <c r="E33" s="417">
        <v>1</v>
      </c>
      <c r="F33" s="91">
        <f t="shared" si="3"/>
        <v>0</v>
      </c>
    </row>
    <row r="34" spans="1:10" x14ac:dyDescent="0.25">
      <c r="A34" s="415" t="str">
        <f t="shared" si="0"/>
        <v>Pastagem - Pangolão</v>
      </c>
      <c r="B34" s="416"/>
      <c r="C34" s="90">
        <f t="shared" si="1"/>
        <v>1.5</v>
      </c>
      <c r="D34" s="91">
        <f t="shared" si="2"/>
        <v>0</v>
      </c>
      <c r="E34" s="417">
        <v>1</v>
      </c>
      <c r="F34" s="91">
        <f t="shared" si="3"/>
        <v>0</v>
      </c>
    </row>
    <row r="35" spans="1:10" x14ac:dyDescent="0.25">
      <c r="A35" s="415" t="str">
        <f t="shared" si="0"/>
        <v>Capineira de Capim Elefante</v>
      </c>
      <c r="B35" s="416"/>
      <c r="C35" s="90">
        <f t="shared" si="1"/>
        <v>0</v>
      </c>
      <c r="D35" s="91">
        <f t="shared" si="2"/>
        <v>0</v>
      </c>
      <c r="E35" s="417">
        <v>1</v>
      </c>
      <c r="F35" s="91">
        <f t="shared" si="3"/>
        <v>0</v>
      </c>
    </row>
    <row r="36" spans="1:10" x14ac:dyDescent="0.25">
      <c r="A36" s="415" t="str">
        <f t="shared" si="0"/>
        <v>Cana-de-açúcar - irrigada</v>
      </c>
      <c r="B36" s="416"/>
      <c r="C36" s="90">
        <f t="shared" si="1"/>
        <v>0</v>
      </c>
      <c r="D36" s="91">
        <f t="shared" si="2"/>
        <v>0</v>
      </c>
      <c r="E36" s="417">
        <v>1</v>
      </c>
      <c r="F36" s="91">
        <f t="shared" si="3"/>
        <v>0</v>
      </c>
    </row>
    <row r="37" spans="1:10" x14ac:dyDescent="0.25">
      <c r="A37" s="415" t="str">
        <f t="shared" si="0"/>
        <v>Caatinga reserva legal?</v>
      </c>
      <c r="B37" s="416"/>
      <c r="C37" s="90">
        <f t="shared" si="1"/>
        <v>0</v>
      </c>
      <c r="D37" s="91">
        <f t="shared" si="2"/>
        <v>0</v>
      </c>
      <c r="E37" s="417">
        <v>1</v>
      </c>
      <c r="F37" s="91">
        <f t="shared" si="3"/>
        <v>0</v>
      </c>
    </row>
    <row r="38" spans="1:10" x14ac:dyDescent="0.25">
      <c r="A38" s="415" t="str">
        <f t="shared" si="0"/>
        <v>Pastagem nativa</v>
      </c>
      <c r="B38" s="416"/>
      <c r="C38" s="90">
        <f>(C18+E18)/2</f>
        <v>1.4</v>
      </c>
      <c r="D38" s="91">
        <f t="shared" si="2"/>
        <v>0</v>
      </c>
      <c r="E38" s="416">
        <v>1</v>
      </c>
      <c r="F38" s="91">
        <f>D38/E38</f>
        <v>0</v>
      </c>
    </row>
    <row r="39" spans="1:10" x14ac:dyDescent="0.25">
      <c r="A39" s="415" t="str">
        <f t="shared" si="0"/>
        <v>Milho para Silagem</v>
      </c>
      <c r="B39" s="416"/>
      <c r="C39" s="90">
        <f>(C19+E19)/2</f>
        <v>0</v>
      </c>
      <c r="D39" s="91">
        <f t="shared" si="2"/>
        <v>0</v>
      </c>
      <c r="E39" s="416">
        <v>1</v>
      </c>
      <c r="F39" s="91">
        <f t="shared" si="3"/>
        <v>0</v>
      </c>
    </row>
    <row r="40" spans="1:10" x14ac:dyDescent="0.25">
      <c r="A40" s="415" t="str">
        <f t="shared" si="0"/>
        <v>Palma</v>
      </c>
      <c r="B40" s="416"/>
      <c r="C40" s="90">
        <f>(C20+E20)/2</f>
        <v>1.5</v>
      </c>
      <c r="D40" s="91">
        <f t="shared" si="2"/>
        <v>0</v>
      </c>
      <c r="E40" s="416">
        <v>1</v>
      </c>
      <c r="F40" s="91">
        <f t="shared" si="3"/>
        <v>0</v>
      </c>
    </row>
    <row r="41" spans="1:10" x14ac:dyDescent="0.25">
      <c r="A41" s="415" t="str">
        <f t="shared" si="0"/>
        <v>Outros (2)</v>
      </c>
      <c r="B41" s="416"/>
      <c r="C41" s="90">
        <f>(C21+E21)/2</f>
        <v>0</v>
      </c>
      <c r="D41" s="91">
        <f t="shared" si="2"/>
        <v>0</v>
      </c>
      <c r="E41" s="416">
        <v>1</v>
      </c>
      <c r="F41" s="91">
        <f t="shared" si="3"/>
        <v>0</v>
      </c>
    </row>
    <row r="42" spans="1:10" ht="15.75" thickBot="1" x14ac:dyDescent="0.3">
      <c r="A42" s="92" t="s">
        <v>200</v>
      </c>
      <c r="B42" s="92"/>
      <c r="C42" s="92">
        <f>SUM(C30:C41)</f>
        <v>4.4000000000000004</v>
      </c>
      <c r="D42" s="93">
        <f>SUM(D30:D35)</f>
        <v>0</v>
      </c>
      <c r="E42" s="93"/>
      <c r="F42" s="93">
        <f>SUM(F30:F41)</f>
        <v>0</v>
      </c>
      <c r="G42" s="258"/>
    </row>
    <row r="45" spans="1:10" ht="23.25" x14ac:dyDescent="0.35">
      <c r="A45" s="160" t="s">
        <v>201</v>
      </c>
    </row>
    <row r="47" spans="1:10" x14ac:dyDescent="0.25">
      <c r="A47" s="257" t="s">
        <v>148</v>
      </c>
      <c r="B47" s="94" t="s">
        <v>202</v>
      </c>
      <c r="C47" s="315" t="s">
        <v>203</v>
      </c>
      <c r="D47" s="95" t="s">
        <v>150</v>
      </c>
      <c r="E47" s="95" t="s">
        <v>151</v>
      </c>
      <c r="F47" s="95" t="s">
        <v>149</v>
      </c>
      <c r="G47" s="316" t="s">
        <v>204</v>
      </c>
      <c r="H47" s="317" t="s">
        <v>403</v>
      </c>
      <c r="I47" s="318" t="s">
        <v>205</v>
      </c>
      <c r="J47" s="319" t="s">
        <v>206</v>
      </c>
    </row>
    <row r="48" spans="1:10" x14ac:dyDescent="0.25">
      <c r="A48" s="418" t="s">
        <v>154</v>
      </c>
      <c r="B48" s="98"/>
      <c r="C48" s="314"/>
      <c r="D48" s="314"/>
      <c r="E48" s="314"/>
      <c r="F48" s="314"/>
      <c r="G48" s="419"/>
      <c r="H48" s="320"/>
      <c r="I48" s="96">
        <f>B48*H48</f>
        <v>0</v>
      </c>
      <c r="J48" s="97">
        <f>H48*G48</f>
        <v>0</v>
      </c>
    </row>
    <row r="49" spans="1:10" x14ac:dyDescent="0.25">
      <c r="A49" s="420" t="s">
        <v>152</v>
      </c>
      <c r="B49" s="98"/>
      <c r="C49" s="314"/>
      <c r="D49" s="314"/>
      <c r="E49" s="314"/>
      <c r="F49" s="314"/>
      <c r="G49" s="419"/>
      <c r="H49" s="320"/>
      <c r="I49" s="96">
        <f t="shared" ref="I49:I56" si="4">B49*H49</f>
        <v>0</v>
      </c>
      <c r="J49" s="97">
        <f t="shared" ref="J49:J56" si="5">H49*G49</f>
        <v>0</v>
      </c>
    </row>
    <row r="50" spans="1:10" x14ac:dyDescent="0.25">
      <c r="A50" s="420" t="s">
        <v>207</v>
      </c>
      <c r="B50" s="98"/>
      <c r="C50" s="314"/>
      <c r="D50" s="314"/>
      <c r="E50" s="314"/>
      <c r="F50" s="314"/>
      <c r="G50" s="419"/>
      <c r="H50" s="320"/>
      <c r="I50" s="96">
        <f t="shared" si="4"/>
        <v>0</v>
      </c>
      <c r="J50" s="97">
        <f t="shared" si="5"/>
        <v>0</v>
      </c>
    </row>
    <row r="51" spans="1:10" x14ac:dyDescent="0.25">
      <c r="A51" s="420" t="s">
        <v>155</v>
      </c>
      <c r="B51" s="98"/>
      <c r="C51" s="314"/>
      <c r="D51" s="314"/>
      <c r="E51" s="314"/>
      <c r="F51" s="314"/>
      <c r="G51" s="419"/>
      <c r="H51" s="320"/>
      <c r="I51" s="96">
        <f t="shared" si="4"/>
        <v>0</v>
      </c>
      <c r="J51" s="97">
        <f t="shared" si="5"/>
        <v>0</v>
      </c>
    </row>
    <row r="52" spans="1:10" x14ac:dyDescent="0.25">
      <c r="A52" s="420" t="s">
        <v>208</v>
      </c>
      <c r="B52" s="98"/>
      <c r="C52" s="314"/>
      <c r="D52" s="314"/>
      <c r="E52" s="314"/>
      <c r="F52" s="314"/>
      <c r="G52" s="419"/>
      <c r="H52" s="320"/>
      <c r="I52" s="96">
        <f t="shared" si="4"/>
        <v>0</v>
      </c>
      <c r="J52" s="97">
        <f t="shared" si="5"/>
        <v>0</v>
      </c>
    </row>
    <row r="53" spans="1:10" x14ac:dyDescent="0.25">
      <c r="A53" s="420" t="s">
        <v>209</v>
      </c>
      <c r="B53" s="98"/>
      <c r="C53" s="314"/>
      <c r="D53" s="314"/>
      <c r="E53" s="314"/>
      <c r="F53" s="314"/>
      <c r="G53" s="419"/>
      <c r="H53" s="320"/>
      <c r="I53" s="96">
        <f t="shared" si="4"/>
        <v>0</v>
      </c>
      <c r="J53" s="97">
        <f t="shared" si="5"/>
        <v>0</v>
      </c>
    </row>
    <row r="54" spans="1:10" x14ac:dyDescent="0.25">
      <c r="A54" s="420" t="s">
        <v>210</v>
      </c>
      <c r="B54" s="98"/>
      <c r="C54" s="314"/>
      <c r="D54" s="314"/>
      <c r="E54" s="314"/>
      <c r="F54" s="314"/>
      <c r="G54" s="419"/>
      <c r="H54" s="320"/>
      <c r="I54" s="96">
        <f t="shared" si="4"/>
        <v>0</v>
      </c>
      <c r="J54" s="97">
        <f t="shared" si="5"/>
        <v>0</v>
      </c>
    </row>
    <row r="55" spans="1:10" x14ac:dyDescent="0.25">
      <c r="A55" s="420"/>
      <c r="B55" s="98"/>
      <c r="C55" s="314"/>
      <c r="D55" s="314"/>
      <c r="E55" s="314"/>
      <c r="F55" s="314"/>
      <c r="G55" s="419"/>
      <c r="H55" s="320"/>
      <c r="I55" s="96">
        <f t="shared" si="4"/>
        <v>0</v>
      </c>
      <c r="J55" s="97">
        <f t="shared" si="5"/>
        <v>0</v>
      </c>
    </row>
    <row r="56" spans="1:10" x14ac:dyDescent="0.25">
      <c r="A56" s="421"/>
      <c r="B56" s="98"/>
      <c r="C56" s="314"/>
      <c r="D56" s="314"/>
      <c r="E56" s="314"/>
      <c r="F56" s="314"/>
      <c r="G56" s="422">
        <f>SUM(G48:G55)</f>
        <v>0</v>
      </c>
      <c r="H56" s="320"/>
      <c r="I56" s="96">
        <f t="shared" si="4"/>
        <v>0</v>
      </c>
      <c r="J56" s="97">
        <f t="shared" si="5"/>
        <v>0</v>
      </c>
    </row>
    <row r="57" spans="1:10" x14ac:dyDescent="0.25">
      <c r="A57" s="257" t="s">
        <v>211</v>
      </c>
      <c r="B57" s="99">
        <f>SUM(B48:B56)</f>
        <v>0</v>
      </c>
      <c r="C57" s="95">
        <f>SUM(C48:C56)</f>
        <v>0</v>
      </c>
      <c r="D57" s="95">
        <f>SUM(D48:D56)</f>
        <v>0</v>
      </c>
      <c r="E57" s="95">
        <f>SUM(E48:E56)</f>
        <v>0</v>
      </c>
      <c r="F57" s="95">
        <f>SUM(F48:F56)</f>
        <v>0</v>
      </c>
      <c r="G57" s="99">
        <f>B57+C57-D57-E57+F57</f>
        <v>0</v>
      </c>
      <c r="H57" s="317"/>
      <c r="I57" s="100">
        <f>SUM(I48:I56)</f>
        <v>0</v>
      </c>
      <c r="J57" s="101">
        <f>SUM(J48:J56)</f>
        <v>0</v>
      </c>
    </row>
    <row r="58" spans="1:10" x14ac:dyDescent="0.25">
      <c r="A58" s="102" t="s">
        <v>156</v>
      </c>
      <c r="B58" s="98">
        <v>2</v>
      </c>
      <c r="C58" s="415"/>
      <c r="D58" s="415"/>
      <c r="E58" s="415"/>
      <c r="F58" s="415"/>
      <c r="G58" s="423">
        <v>2</v>
      </c>
      <c r="H58" s="424">
        <v>600</v>
      </c>
    </row>
    <row r="59" spans="1:10" x14ac:dyDescent="0.25">
      <c r="A59" s="102" t="s">
        <v>157</v>
      </c>
      <c r="B59" s="98">
        <v>0</v>
      </c>
      <c r="C59" s="415"/>
      <c r="D59" s="415"/>
      <c r="E59" s="415"/>
      <c r="F59" s="415"/>
      <c r="G59" s="423"/>
      <c r="H59" s="423">
        <v>0</v>
      </c>
    </row>
    <row r="60" spans="1:10" x14ac:dyDescent="0.25">
      <c r="A60" s="102" t="s">
        <v>158</v>
      </c>
      <c r="B60" s="98">
        <v>0</v>
      </c>
      <c r="C60" s="415"/>
      <c r="D60" s="415"/>
      <c r="E60" s="415"/>
      <c r="F60" s="415"/>
      <c r="G60" s="423"/>
      <c r="H60" s="425">
        <v>0</v>
      </c>
    </row>
    <row r="61" spans="1:10" x14ac:dyDescent="0.25">
      <c r="A61" s="257" t="s">
        <v>212</v>
      </c>
      <c r="B61" s="103">
        <f t="shared" ref="B61:G61" si="6">SUM(B58:B60)</f>
        <v>2</v>
      </c>
      <c r="C61" s="104">
        <f t="shared" si="6"/>
        <v>0</v>
      </c>
      <c r="D61" s="104">
        <f t="shared" si="6"/>
        <v>0</v>
      </c>
      <c r="E61" s="104">
        <f t="shared" si="6"/>
        <v>0</v>
      </c>
      <c r="F61" s="104">
        <f t="shared" si="6"/>
        <v>0</v>
      </c>
      <c r="G61" s="103">
        <f t="shared" si="6"/>
        <v>2</v>
      </c>
      <c r="H61" s="426">
        <v>0</v>
      </c>
    </row>
    <row r="62" spans="1:10" x14ac:dyDescent="0.25">
      <c r="A62" s="257" t="s">
        <v>213</v>
      </c>
      <c r="B62" s="105">
        <f>B61+B57</f>
        <v>2</v>
      </c>
      <c r="C62" s="106"/>
      <c r="D62" s="106"/>
      <c r="E62" s="106"/>
      <c r="F62" s="106"/>
      <c r="G62" s="105">
        <f>G61+G57</f>
        <v>2</v>
      </c>
      <c r="H62" s="321"/>
    </row>
    <row r="63" spans="1:10" x14ac:dyDescent="0.25">
      <c r="A63" s="87" t="s">
        <v>214</v>
      </c>
      <c r="B63" s="84"/>
      <c r="C63" s="415"/>
      <c r="D63" s="415"/>
      <c r="E63" s="415"/>
      <c r="F63" s="415"/>
      <c r="G63" s="427"/>
      <c r="H63" s="428">
        <f>H62+H58</f>
        <v>600</v>
      </c>
    </row>
    <row r="64" spans="1:10" x14ac:dyDescent="0.25">
      <c r="A64" s="107" t="s">
        <v>215</v>
      </c>
      <c r="B64" s="108">
        <f>(I57+J57)/2</f>
        <v>0</v>
      </c>
      <c r="C64" s="429"/>
      <c r="D64" s="429"/>
      <c r="E64" s="429"/>
      <c r="F64" s="429"/>
      <c r="G64" s="429"/>
      <c r="H64" s="426"/>
    </row>
    <row r="66" spans="1:7" x14ac:dyDescent="0.25">
      <c r="A66" s="109" t="s">
        <v>216</v>
      </c>
      <c r="B66" s="110">
        <f>J57-I57-B67</f>
        <v>0</v>
      </c>
    </row>
    <row r="67" spans="1:7" x14ac:dyDescent="0.25">
      <c r="A67" s="111" t="s">
        <v>217</v>
      </c>
      <c r="B67" s="112"/>
    </row>
    <row r="68" spans="1:7" x14ac:dyDescent="0.25">
      <c r="A68" s="84"/>
      <c r="B68" s="84"/>
    </row>
    <row r="69" spans="1:7" x14ac:dyDescent="0.25">
      <c r="A69" s="113" t="s">
        <v>218</v>
      </c>
      <c r="B69" s="114"/>
    </row>
    <row r="70" spans="1:7" x14ac:dyDescent="0.25">
      <c r="A70" s="115" t="s">
        <v>219</v>
      </c>
      <c r="B70" s="116">
        <f>(I48+J48)/2</f>
        <v>0</v>
      </c>
    </row>
    <row r="71" spans="1:7" x14ac:dyDescent="0.25">
      <c r="A71" s="117" t="s">
        <v>220</v>
      </c>
      <c r="B71" s="430">
        <v>5</v>
      </c>
    </row>
    <row r="72" spans="1:7" x14ac:dyDescent="0.25">
      <c r="A72" s="115" t="s">
        <v>221</v>
      </c>
      <c r="B72" s="118">
        <f>B70/B71</f>
        <v>0</v>
      </c>
    </row>
    <row r="73" spans="1:7" x14ac:dyDescent="0.25">
      <c r="A73" s="117"/>
      <c r="B73" s="119"/>
    </row>
    <row r="74" spans="1:7" x14ac:dyDescent="0.25">
      <c r="A74" s="115" t="s">
        <v>222</v>
      </c>
      <c r="B74" s="120">
        <f>G58*H58</f>
        <v>1200</v>
      </c>
    </row>
    <row r="75" spans="1:7" x14ac:dyDescent="0.25">
      <c r="A75" s="117" t="s">
        <v>223</v>
      </c>
      <c r="B75" s="430">
        <v>10</v>
      </c>
    </row>
    <row r="76" spans="1:7" x14ac:dyDescent="0.25">
      <c r="A76" s="121" t="s">
        <v>224</v>
      </c>
      <c r="B76" s="122">
        <f>B74/B75</f>
        <v>120</v>
      </c>
    </row>
    <row r="80" spans="1:7" x14ac:dyDescent="0.25">
      <c r="A80" s="175" t="s">
        <v>225</v>
      </c>
      <c r="B80" s="176"/>
      <c r="C80" s="174"/>
      <c r="D80" s="169"/>
      <c r="E80" s="169"/>
      <c r="F80" s="169"/>
      <c r="G80" s="169"/>
    </row>
    <row r="81" spans="1:7" x14ac:dyDescent="0.25">
      <c r="A81" s="175"/>
      <c r="B81" s="177"/>
      <c r="C81" s="178"/>
      <c r="D81" s="286" t="s">
        <v>226</v>
      </c>
      <c r="E81" s="286"/>
      <c r="F81" s="179"/>
      <c r="G81" s="180" t="s">
        <v>194</v>
      </c>
    </row>
    <row r="82" spans="1:7" x14ac:dyDescent="0.25">
      <c r="A82" s="94" t="s">
        <v>139</v>
      </c>
      <c r="B82" s="94" t="s">
        <v>5</v>
      </c>
      <c r="C82" s="131" t="s">
        <v>227</v>
      </c>
      <c r="D82" s="130" t="s">
        <v>228</v>
      </c>
      <c r="E82" s="130" t="s">
        <v>229</v>
      </c>
      <c r="F82" s="130" t="s">
        <v>230</v>
      </c>
      <c r="G82" s="130" t="s">
        <v>231</v>
      </c>
    </row>
    <row r="83" spans="1:7" x14ac:dyDescent="0.25">
      <c r="A83" s="132" t="s">
        <v>232</v>
      </c>
      <c r="B83" s="133" t="s">
        <v>233</v>
      </c>
      <c r="C83" s="134"/>
      <c r="D83" s="135"/>
      <c r="E83" s="136">
        <f>D83*C83</f>
        <v>0</v>
      </c>
      <c r="F83" s="431">
        <v>1</v>
      </c>
      <c r="G83" s="137">
        <f>E83/F83</f>
        <v>0</v>
      </c>
    </row>
    <row r="84" spans="1:7" x14ac:dyDescent="0.25">
      <c r="A84" s="138" t="s">
        <v>234</v>
      </c>
      <c r="B84" s="133" t="s">
        <v>233</v>
      </c>
      <c r="C84" s="134">
        <v>1</v>
      </c>
      <c r="D84" s="135">
        <v>1600</v>
      </c>
      <c r="E84" s="136">
        <f t="shared" ref="E84:E101" si="7">D84*C84</f>
        <v>1600</v>
      </c>
      <c r="F84" s="431">
        <v>10</v>
      </c>
      <c r="G84" s="137">
        <f t="shared" ref="G84:G94" si="8">E84/F84</f>
        <v>160</v>
      </c>
    </row>
    <row r="85" spans="1:7" x14ac:dyDescent="0.25">
      <c r="A85" s="139" t="s">
        <v>235</v>
      </c>
      <c r="B85" s="133" t="s">
        <v>233</v>
      </c>
      <c r="C85" s="134">
        <v>1</v>
      </c>
      <c r="D85" s="135">
        <v>18000</v>
      </c>
      <c r="E85" s="136">
        <f t="shared" si="7"/>
        <v>18000</v>
      </c>
      <c r="F85" s="431">
        <v>10</v>
      </c>
      <c r="G85" s="137">
        <f t="shared" si="8"/>
        <v>1800</v>
      </c>
    </row>
    <row r="86" spans="1:7" x14ac:dyDescent="0.25">
      <c r="A86" s="139" t="s">
        <v>236</v>
      </c>
      <c r="B86" s="133" t="s">
        <v>237</v>
      </c>
      <c r="C86" s="134">
        <v>1</v>
      </c>
      <c r="D86" s="135">
        <v>25400</v>
      </c>
      <c r="E86" s="136">
        <f t="shared" si="7"/>
        <v>25400</v>
      </c>
      <c r="F86" s="431">
        <v>10</v>
      </c>
      <c r="G86" s="137">
        <f t="shared" si="8"/>
        <v>2540</v>
      </c>
    </row>
    <row r="87" spans="1:7" x14ac:dyDescent="0.25">
      <c r="A87" s="139" t="s">
        <v>238</v>
      </c>
      <c r="B87" s="133" t="s">
        <v>237</v>
      </c>
      <c r="C87" s="134"/>
      <c r="D87" s="135"/>
      <c r="E87" s="136">
        <f t="shared" si="7"/>
        <v>0</v>
      </c>
      <c r="F87" s="431">
        <v>1</v>
      </c>
      <c r="G87" s="137">
        <f t="shared" si="8"/>
        <v>0</v>
      </c>
    </row>
    <row r="88" spans="1:7" x14ac:dyDescent="0.25">
      <c r="A88" s="139" t="s">
        <v>239</v>
      </c>
      <c r="B88" s="133" t="s">
        <v>233</v>
      </c>
      <c r="C88" s="134"/>
      <c r="D88" s="135"/>
      <c r="E88" s="136">
        <f t="shared" si="7"/>
        <v>0</v>
      </c>
      <c r="F88" s="431">
        <v>1</v>
      </c>
      <c r="G88" s="137">
        <f t="shared" si="8"/>
        <v>0</v>
      </c>
    </row>
    <row r="89" spans="1:7" x14ac:dyDescent="0.25">
      <c r="A89" s="139" t="s">
        <v>240</v>
      </c>
      <c r="B89" s="133" t="s">
        <v>233</v>
      </c>
      <c r="C89" s="134">
        <v>1</v>
      </c>
      <c r="D89" s="135">
        <v>2500</v>
      </c>
      <c r="E89" s="136">
        <f t="shared" si="7"/>
        <v>2500</v>
      </c>
      <c r="F89" s="431">
        <v>20</v>
      </c>
      <c r="G89" s="137">
        <f t="shared" si="8"/>
        <v>125</v>
      </c>
    </row>
    <row r="90" spans="1:7" x14ac:dyDescent="0.25">
      <c r="A90" s="139" t="s">
        <v>71</v>
      </c>
      <c r="B90" s="133" t="s">
        <v>241</v>
      </c>
      <c r="C90" s="134">
        <v>0</v>
      </c>
      <c r="D90" s="135"/>
      <c r="E90" s="136">
        <f t="shared" si="7"/>
        <v>0</v>
      </c>
      <c r="F90" s="431">
        <v>1</v>
      </c>
      <c r="G90" s="137">
        <f t="shared" si="8"/>
        <v>0</v>
      </c>
    </row>
    <row r="91" spans="1:7" x14ac:dyDescent="0.25">
      <c r="A91" s="140" t="s">
        <v>242</v>
      </c>
      <c r="B91" s="133" t="s">
        <v>233</v>
      </c>
      <c r="C91" s="134">
        <v>1</v>
      </c>
      <c r="D91" s="135">
        <v>200</v>
      </c>
      <c r="E91" s="136">
        <f t="shared" si="7"/>
        <v>200</v>
      </c>
      <c r="F91" s="431">
        <v>6</v>
      </c>
      <c r="G91" s="137">
        <f t="shared" si="8"/>
        <v>33.333333333333336</v>
      </c>
    </row>
    <row r="92" spans="1:7" x14ac:dyDescent="0.25">
      <c r="A92" s="140" t="s">
        <v>243</v>
      </c>
      <c r="B92" s="133" t="s">
        <v>233</v>
      </c>
      <c r="C92" s="134">
        <v>0</v>
      </c>
      <c r="D92" s="135"/>
      <c r="E92" s="136">
        <f t="shared" si="7"/>
        <v>0</v>
      </c>
      <c r="F92" s="431">
        <v>1</v>
      </c>
      <c r="G92" s="137">
        <f t="shared" si="8"/>
        <v>0</v>
      </c>
    </row>
    <row r="93" spans="1:7" x14ac:dyDescent="0.25">
      <c r="A93" s="138" t="s">
        <v>244</v>
      </c>
      <c r="B93" s="141" t="s">
        <v>233</v>
      </c>
      <c r="C93" s="134">
        <v>1</v>
      </c>
      <c r="D93" s="135">
        <v>1000</v>
      </c>
      <c r="E93" s="136">
        <f t="shared" si="7"/>
        <v>1000</v>
      </c>
      <c r="F93" s="431">
        <v>10</v>
      </c>
      <c r="G93" s="137">
        <f t="shared" si="8"/>
        <v>100</v>
      </c>
    </row>
    <row r="94" spans="1:7" x14ac:dyDescent="0.25">
      <c r="A94" s="138" t="s">
        <v>400</v>
      </c>
      <c r="B94" s="141" t="s">
        <v>233</v>
      </c>
      <c r="C94" s="134">
        <v>1</v>
      </c>
      <c r="D94" s="135">
        <v>300</v>
      </c>
      <c r="E94" s="136">
        <f t="shared" si="7"/>
        <v>300</v>
      </c>
      <c r="F94" s="431">
        <v>10</v>
      </c>
      <c r="G94" s="137">
        <f t="shared" si="8"/>
        <v>30</v>
      </c>
    </row>
    <row r="95" spans="1:7" x14ac:dyDescent="0.25">
      <c r="A95" s="142"/>
      <c r="B95" s="141" t="s">
        <v>32</v>
      </c>
      <c r="C95" s="134"/>
      <c r="D95" s="135"/>
      <c r="E95" s="136">
        <f t="shared" si="7"/>
        <v>0</v>
      </c>
      <c r="F95" s="431"/>
      <c r="G95" s="137"/>
    </row>
    <row r="96" spans="1:7" x14ac:dyDescent="0.25">
      <c r="A96" s="143"/>
      <c r="B96" s="141" t="s">
        <v>32</v>
      </c>
      <c r="C96" s="134"/>
      <c r="D96" s="135"/>
      <c r="E96" s="136">
        <f t="shared" si="7"/>
        <v>0</v>
      </c>
      <c r="F96" s="431"/>
      <c r="G96" s="137"/>
    </row>
    <row r="97" spans="1:7" x14ac:dyDescent="0.25">
      <c r="A97" s="144"/>
      <c r="B97" s="141" t="s">
        <v>32</v>
      </c>
      <c r="C97" s="134"/>
      <c r="D97" s="135"/>
      <c r="E97" s="136">
        <f t="shared" si="7"/>
        <v>0</v>
      </c>
      <c r="F97" s="431"/>
      <c r="G97" s="137"/>
    </row>
    <row r="98" spans="1:7" x14ac:dyDescent="0.25">
      <c r="A98" s="144"/>
      <c r="B98" s="141" t="s">
        <v>32</v>
      </c>
      <c r="C98" s="134"/>
      <c r="D98" s="135"/>
      <c r="E98" s="136">
        <f t="shared" si="7"/>
        <v>0</v>
      </c>
      <c r="F98" s="431"/>
      <c r="G98" s="137"/>
    </row>
    <row r="99" spans="1:7" x14ac:dyDescent="0.25">
      <c r="A99" s="144"/>
      <c r="B99" s="141" t="s">
        <v>32</v>
      </c>
      <c r="C99" s="134"/>
      <c r="D99" s="135"/>
      <c r="E99" s="136">
        <f t="shared" si="7"/>
        <v>0</v>
      </c>
      <c r="F99" s="431"/>
      <c r="G99" s="137"/>
    </row>
    <row r="100" spans="1:7" x14ac:dyDescent="0.25">
      <c r="A100" s="144"/>
      <c r="B100" s="141" t="s">
        <v>32</v>
      </c>
      <c r="C100" s="134"/>
      <c r="D100" s="135"/>
      <c r="E100" s="136">
        <f t="shared" si="7"/>
        <v>0</v>
      </c>
      <c r="F100" s="431"/>
      <c r="G100" s="137"/>
    </row>
    <row r="101" spans="1:7" x14ac:dyDescent="0.25">
      <c r="A101" s="144"/>
      <c r="B101" s="145" t="s">
        <v>32</v>
      </c>
      <c r="C101" s="134"/>
      <c r="D101" s="135"/>
      <c r="E101" s="136">
        <f t="shared" si="7"/>
        <v>0</v>
      </c>
      <c r="F101" s="431"/>
      <c r="G101" s="146"/>
    </row>
    <row r="102" spans="1:7" x14ac:dyDescent="0.25">
      <c r="A102" s="270" t="s">
        <v>200</v>
      </c>
      <c r="B102" s="271"/>
      <c r="C102" s="147"/>
      <c r="D102" s="148"/>
      <c r="E102" s="149">
        <f>SUM(E83:E101)</f>
        <v>49000</v>
      </c>
      <c r="F102" s="149"/>
      <c r="G102" s="150">
        <f>SUM(G83:G101)</f>
        <v>4788.333333333333</v>
      </c>
    </row>
    <row r="106" spans="1:7" x14ac:dyDescent="0.25">
      <c r="A106" s="123" t="s">
        <v>245</v>
      </c>
      <c r="B106" s="124"/>
      <c r="C106" s="125"/>
      <c r="D106" s="126"/>
      <c r="E106" s="126"/>
      <c r="F106" s="151"/>
      <c r="G106" s="126"/>
    </row>
    <row r="107" spans="1:7" x14ac:dyDescent="0.25">
      <c r="A107" s="123"/>
      <c r="B107" s="127"/>
      <c r="C107" s="128"/>
      <c r="D107" s="269" t="s">
        <v>226</v>
      </c>
      <c r="E107" s="269"/>
      <c r="F107" s="129"/>
      <c r="G107" s="130" t="s">
        <v>194</v>
      </c>
    </row>
    <row r="108" spans="1:7" x14ac:dyDescent="0.25">
      <c r="A108" s="94" t="s">
        <v>139</v>
      </c>
      <c r="B108" s="94" t="s">
        <v>5</v>
      </c>
      <c r="C108" s="131" t="s">
        <v>227</v>
      </c>
      <c r="D108" s="130" t="s">
        <v>228</v>
      </c>
      <c r="E108" s="130" t="s">
        <v>229</v>
      </c>
      <c r="F108" s="130" t="s">
        <v>230</v>
      </c>
      <c r="G108" s="130" t="s">
        <v>231</v>
      </c>
    </row>
    <row r="109" spans="1:7" x14ac:dyDescent="0.25">
      <c r="A109" s="139" t="s">
        <v>246</v>
      </c>
      <c r="B109" s="133" t="s">
        <v>247</v>
      </c>
      <c r="C109" s="152">
        <v>1</v>
      </c>
      <c r="D109" s="153">
        <v>2500</v>
      </c>
      <c r="E109" s="154">
        <f t="shared" ref="E109:E132" si="9">D109*C109</f>
        <v>2500</v>
      </c>
      <c r="F109" s="432">
        <v>10</v>
      </c>
      <c r="G109" s="137">
        <f>E109/F109</f>
        <v>250</v>
      </c>
    </row>
    <row r="110" spans="1:7" x14ac:dyDescent="0.25">
      <c r="A110" s="139" t="s">
        <v>248</v>
      </c>
      <c r="B110" s="133" t="s">
        <v>247</v>
      </c>
      <c r="C110" s="152"/>
      <c r="D110" s="153"/>
      <c r="E110" s="154">
        <f t="shared" si="9"/>
        <v>0</v>
      </c>
      <c r="F110" s="432">
        <v>1</v>
      </c>
      <c r="G110" s="137">
        <f t="shared" ref="G110:G132" si="10">E110/F110</f>
        <v>0</v>
      </c>
    </row>
    <row r="111" spans="1:7" x14ac:dyDescent="0.25">
      <c r="A111" s="139" t="s">
        <v>249</v>
      </c>
      <c r="B111" s="133" t="s">
        <v>247</v>
      </c>
      <c r="C111" s="152"/>
      <c r="D111" s="153"/>
      <c r="E111" s="154">
        <f t="shared" si="9"/>
        <v>0</v>
      </c>
      <c r="F111" s="432">
        <v>1</v>
      </c>
      <c r="G111" s="137">
        <f t="shared" si="10"/>
        <v>0</v>
      </c>
    </row>
    <row r="112" spans="1:7" x14ac:dyDescent="0.25">
      <c r="A112" s="139" t="s">
        <v>250</v>
      </c>
      <c r="B112" s="133" t="s">
        <v>247</v>
      </c>
      <c r="C112" s="152"/>
      <c r="D112" s="153"/>
      <c r="E112" s="154">
        <f t="shared" si="9"/>
        <v>0</v>
      </c>
      <c r="F112" s="432">
        <v>1</v>
      </c>
      <c r="G112" s="137">
        <f t="shared" si="10"/>
        <v>0</v>
      </c>
    </row>
    <row r="113" spans="1:7" x14ac:dyDescent="0.25">
      <c r="A113" s="139" t="s">
        <v>251</v>
      </c>
      <c r="B113" s="133" t="s">
        <v>247</v>
      </c>
      <c r="C113" s="152"/>
      <c r="D113" s="153"/>
      <c r="E113" s="154">
        <f t="shared" si="9"/>
        <v>0</v>
      </c>
      <c r="F113" s="432">
        <v>1</v>
      </c>
      <c r="G113" s="137">
        <f t="shared" si="10"/>
        <v>0</v>
      </c>
    </row>
    <row r="114" spans="1:7" x14ac:dyDescent="0.25">
      <c r="A114" s="139" t="s">
        <v>252</v>
      </c>
      <c r="B114" s="133" t="s">
        <v>247</v>
      </c>
      <c r="C114" s="152"/>
      <c r="D114" s="153"/>
      <c r="E114" s="154">
        <f>D114*C114</f>
        <v>0</v>
      </c>
      <c r="F114" s="432">
        <v>1</v>
      </c>
      <c r="G114" s="137">
        <f t="shared" si="10"/>
        <v>0</v>
      </c>
    </row>
    <row r="115" spans="1:7" x14ac:dyDescent="0.25">
      <c r="A115" s="138" t="s">
        <v>253</v>
      </c>
      <c r="B115" s="133" t="s">
        <v>247</v>
      </c>
      <c r="C115" s="152"/>
      <c r="D115" s="153"/>
      <c r="E115" s="154">
        <f t="shared" si="9"/>
        <v>0</v>
      </c>
      <c r="F115" s="432">
        <v>1</v>
      </c>
      <c r="G115" s="137">
        <f t="shared" si="10"/>
        <v>0</v>
      </c>
    </row>
    <row r="116" spans="1:7" x14ac:dyDescent="0.25">
      <c r="A116" s="139" t="s">
        <v>254</v>
      </c>
      <c r="B116" s="133" t="s">
        <v>247</v>
      </c>
      <c r="C116" s="152"/>
      <c r="D116" s="153"/>
      <c r="E116" s="154">
        <f t="shared" si="9"/>
        <v>0</v>
      </c>
      <c r="F116" s="432">
        <v>1</v>
      </c>
      <c r="G116" s="137">
        <f t="shared" si="10"/>
        <v>0</v>
      </c>
    </row>
    <row r="117" spans="1:7" x14ac:dyDescent="0.25">
      <c r="A117" s="138" t="s">
        <v>255</v>
      </c>
      <c r="B117" s="133" t="s">
        <v>247</v>
      </c>
      <c r="C117" s="152"/>
      <c r="D117" s="153"/>
      <c r="E117" s="154">
        <f t="shared" si="9"/>
        <v>0</v>
      </c>
      <c r="F117" s="432">
        <v>1</v>
      </c>
      <c r="G117" s="137">
        <f t="shared" si="10"/>
        <v>0</v>
      </c>
    </row>
    <row r="118" spans="1:7" x14ac:dyDescent="0.25">
      <c r="A118" s="138" t="s">
        <v>256</v>
      </c>
      <c r="B118" s="133" t="s">
        <v>247</v>
      </c>
      <c r="C118" s="152">
        <v>1</v>
      </c>
      <c r="D118" s="153"/>
      <c r="E118" s="154">
        <f t="shared" si="9"/>
        <v>0</v>
      </c>
      <c r="F118" s="432">
        <v>1</v>
      </c>
      <c r="G118" s="137">
        <f t="shared" si="10"/>
        <v>0</v>
      </c>
    </row>
    <row r="119" spans="1:7" x14ac:dyDescent="0.25">
      <c r="A119" s="139" t="s">
        <v>257</v>
      </c>
      <c r="B119" s="133" t="s">
        <v>247</v>
      </c>
      <c r="C119" s="152"/>
      <c r="D119" s="153"/>
      <c r="E119" s="154">
        <f t="shared" si="9"/>
        <v>0</v>
      </c>
      <c r="F119" s="432">
        <v>1</v>
      </c>
      <c r="G119" s="137">
        <f t="shared" si="10"/>
        <v>0</v>
      </c>
    </row>
    <row r="120" spans="1:7" x14ac:dyDescent="0.25">
      <c r="A120" s="139" t="s">
        <v>258</v>
      </c>
      <c r="B120" s="133" t="s">
        <v>247</v>
      </c>
      <c r="C120" s="152"/>
      <c r="D120" s="153"/>
      <c r="E120" s="154">
        <f t="shared" si="9"/>
        <v>0</v>
      </c>
      <c r="F120" s="432">
        <v>1</v>
      </c>
      <c r="G120" s="137">
        <f t="shared" si="10"/>
        <v>0</v>
      </c>
    </row>
    <row r="121" spans="1:7" x14ac:dyDescent="0.25">
      <c r="A121" s="139" t="s">
        <v>401</v>
      </c>
      <c r="B121" s="133" t="s">
        <v>247</v>
      </c>
      <c r="C121" s="152">
        <v>2</v>
      </c>
      <c r="D121" s="153">
        <v>800</v>
      </c>
      <c r="E121" s="154">
        <f t="shared" si="9"/>
        <v>1600</v>
      </c>
      <c r="F121" s="432">
        <v>8</v>
      </c>
      <c r="G121" s="137">
        <f t="shared" si="10"/>
        <v>200</v>
      </c>
    </row>
    <row r="122" spans="1:7" x14ac:dyDescent="0.25">
      <c r="A122" s="138" t="s">
        <v>259</v>
      </c>
      <c r="B122" s="133" t="s">
        <v>247</v>
      </c>
      <c r="C122" s="152"/>
      <c r="D122" s="153"/>
      <c r="E122" s="154">
        <f t="shared" si="9"/>
        <v>0</v>
      </c>
      <c r="F122" s="432">
        <v>1</v>
      </c>
      <c r="G122" s="137">
        <f t="shared" si="10"/>
        <v>0</v>
      </c>
    </row>
    <row r="123" spans="1:7" x14ac:dyDescent="0.25">
      <c r="A123" s="138" t="s">
        <v>402</v>
      </c>
      <c r="B123" s="133" t="s">
        <v>247</v>
      </c>
      <c r="C123" s="152">
        <v>2</v>
      </c>
      <c r="D123" s="153">
        <v>100</v>
      </c>
      <c r="E123" s="154">
        <f t="shared" si="9"/>
        <v>200</v>
      </c>
      <c r="F123" s="432">
        <v>5</v>
      </c>
      <c r="G123" s="137">
        <f t="shared" si="10"/>
        <v>40</v>
      </c>
    </row>
    <row r="124" spans="1:7" x14ac:dyDescent="0.25">
      <c r="A124" s="138" t="s">
        <v>260</v>
      </c>
      <c r="B124" s="133" t="s">
        <v>247</v>
      </c>
      <c r="C124" s="152"/>
      <c r="D124" s="153"/>
      <c r="E124" s="154">
        <f t="shared" si="9"/>
        <v>0</v>
      </c>
      <c r="F124" s="432">
        <v>1</v>
      </c>
      <c r="G124" s="137">
        <f t="shared" si="10"/>
        <v>0</v>
      </c>
    </row>
    <row r="125" spans="1:7" x14ac:dyDescent="0.25">
      <c r="A125" s="139" t="s">
        <v>261</v>
      </c>
      <c r="B125" s="133" t="s">
        <v>247</v>
      </c>
      <c r="C125" s="152">
        <v>1</v>
      </c>
      <c r="D125" s="153">
        <v>500</v>
      </c>
      <c r="E125" s="154">
        <f t="shared" si="9"/>
        <v>500</v>
      </c>
      <c r="F125" s="432">
        <v>10</v>
      </c>
      <c r="G125" s="137">
        <f t="shared" si="10"/>
        <v>50</v>
      </c>
    </row>
    <row r="126" spans="1:7" x14ac:dyDescent="0.25">
      <c r="A126" s="139" t="s">
        <v>262</v>
      </c>
      <c r="B126" s="133" t="s">
        <v>247</v>
      </c>
      <c r="C126" s="152"/>
      <c r="D126" s="153"/>
      <c r="E126" s="154">
        <f t="shared" si="9"/>
        <v>0</v>
      </c>
      <c r="F126" s="432">
        <v>1</v>
      </c>
      <c r="G126" s="137">
        <f t="shared" si="10"/>
        <v>0</v>
      </c>
    </row>
    <row r="127" spans="1:7" x14ac:dyDescent="0.25">
      <c r="A127" s="139" t="s">
        <v>263</v>
      </c>
      <c r="B127" s="133" t="s">
        <v>247</v>
      </c>
      <c r="C127" s="152"/>
      <c r="D127" s="153"/>
      <c r="E127" s="154">
        <f t="shared" si="9"/>
        <v>0</v>
      </c>
      <c r="F127" s="432">
        <v>1</v>
      </c>
      <c r="G127" s="137">
        <f t="shared" si="10"/>
        <v>0</v>
      </c>
    </row>
    <row r="128" spans="1:7" x14ac:dyDescent="0.25">
      <c r="A128" s="139" t="s">
        <v>264</v>
      </c>
      <c r="B128" s="133" t="s">
        <v>247</v>
      </c>
      <c r="C128" s="152"/>
      <c r="D128" s="153"/>
      <c r="E128" s="154">
        <f t="shared" si="9"/>
        <v>0</v>
      </c>
      <c r="F128" s="432">
        <v>1</v>
      </c>
      <c r="G128" s="137">
        <f t="shared" si="10"/>
        <v>0</v>
      </c>
    </row>
    <row r="129" spans="1:7" x14ac:dyDescent="0.25">
      <c r="A129" s="139" t="s">
        <v>265</v>
      </c>
      <c r="B129" s="133" t="s">
        <v>247</v>
      </c>
      <c r="C129" s="152"/>
      <c r="D129" s="153"/>
      <c r="E129" s="154">
        <f t="shared" si="9"/>
        <v>0</v>
      </c>
      <c r="F129" s="432">
        <v>1</v>
      </c>
      <c r="G129" s="137">
        <f t="shared" si="10"/>
        <v>0</v>
      </c>
    </row>
    <row r="130" spans="1:7" x14ac:dyDescent="0.25">
      <c r="A130" s="139" t="s">
        <v>266</v>
      </c>
      <c r="B130" s="133" t="s">
        <v>247</v>
      </c>
      <c r="C130" s="152"/>
      <c r="D130" s="153"/>
      <c r="E130" s="154">
        <f t="shared" si="9"/>
        <v>0</v>
      </c>
      <c r="F130" s="432">
        <v>1</v>
      </c>
      <c r="G130" s="137">
        <f t="shared" si="10"/>
        <v>0</v>
      </c>
    </row>
    <row r="131" spans="1:7" x14ac:dyDescent="0.25">
      <c r="A131" s="138" t="s">
        <v>267</v>
      </c>
      <c r="B131" s="133" t="s">
        <v>247</v>
      </c>
      <c r="C131" s="152"/>
      <c r="D131" s="153"/>
      <c r="E131" s="154">
        <f t="shared" si="9"/>
        <v>0</v>
      </c>
      <c r="F131" s="432">
        <v>1</v>
      </c>
      <c r="G131" s="137">
        <f t="shared" si="10"/>
        <v>0</v>
      </c>
    </row>
    <row r="132" spans="1:7" x14ac:dyDescent="0.25">
      <c r="A132" s="138" t="s">
        <v>268</v>
      </c>
      <c r="B132" s="133" t="s">
        <v>247</v>
      </c>
      <c r="C132" s="152"/>
      <c r="D132" s="153"/>
      <c r="E132" s="154">
        <f t="shared" si="9"/>
        <v>0</v>
      </c>
      <c r="F132" s="432">
        <v>1</v>
      </c>
      <c r="G132" s="137">
        <f t="shared" si="10"/>
        <v>0</v>
      </c>
    </row>
    <row r="133" spans="1:7" x14ac:dyDescent="0.25">
      <c r="A133" s="270" t="s">
        <v>200</v>
      </c>
      <c r="B133" s="271"/>
      <c r="C133" s="155"/>
      <c r="D133" s="156"/>
      <c r="E133" s="157">
        <f>SUM(E109:E132)</f>
        <v>4800</v>
      </c>
      <c r="F133" s="158"/>
      <c r="G133" s="159">
        <f>SUM(G109:G132)</f>
        <v>540</v>
      </c>
    </row>
  </sheetData>
  <sheetProtection sheet="1" objects="1" scenarios="1"/>
  <mergeCells count="16">
    <mergeCell ref="I5:J5"/>
    <mergeCell ref="I17:J17"/>
    <mergeCell ref="D107:E107"/>
    <mergeCell ref="A133:B133"/>
    <mergeCell ref="A2:E4"/>
    <mergeCell ref="B6:C6"/>
    <mergeCell ref="D6:E6"/>
    <mergeCell ref="B7:C7"/>
    <mergeCell ref="D7:E7"/>
    <mergeCell ref="B23:C23"/>
    <mergeCell ref="D23:E23"/>
    <mergeCell ref="B24:C24"/>
    <mergeCell ref="D24:E24"/>
    <mergeCell ref="B25:E25"/>
    <mergeCell ref="D81:E81"/>
    <mergeCell ref="A102:B10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2:AW87"/>
  <sheetViews>
    <sheetView workbookViewId="0">
      <selection activeCell="E9" sqref="E9"/>
    </sheetView>
  </sheetViews>
  <sheetFormatPr defaultRowHeight="15" x14ac:dyDescent="0.25"/>
  <cols>
    <col min="1" max="1" width="46.85546875" style="1" bestFit="1" customWidth="1"/>
    <col min="2" max="2" width="9.140625" style="1"/>
    <col min="3" max="4" width="12.140625" style="322" bestFit="1" customWidth="1"/>
    <col min="5" max="16384" width="9.140625" style="1"/>
  </cols>
  <sheetData>
    <row r="2" spans="1:49" x14ac:dyDescent="0.25">
      <c r="A2" s="287" t="s">
        <v>162</v>
      </c>
      <c r="B2" s="288"/>
    </row>
    <row r="3" spans="1:49" x14ac:dyDescent="0.25">
      <c r="A3" s="288"/>
      <c r="B3" s="288"/>
    </row>
    <row r="4" spans="1:49" ht="15.75" thickBot="1" x14ac:dyDescent="0.3">
      <c r="A4" s="289"/>
      <c r="B4" s="289"/>
    </row>
    <row r="5" spans="1:49" ht="15.75" thickBot="1" x14ac:dyDescent="0.3">
      <c r="A5" s="7" t="s">
        <v>139</v>
      </c>
      <c r="B5" s="290" t="s">
        <v>6</v>
      </c>
      <c r="C5" s="291"/>
      <c r="D5" s="292"/>
      <c r="E5" s="290" t="s">
        <v>7</v>
      </c>
      <c r="F5" s="291"/>
      <c r="G5" s="292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</row>
    <row r="6" spans="1:49" ht="15.75" thickBot="1" x14ac:dyDescent="0.3">
      <c r="A6" s="7" t="s">
        <v>72</v>
      </c>
      <c r="B6" s="9" t="s">
        <v>127</v>
      </c>
      <c r="C6" s="336" t="s">
        <v>128</v>
      </c>
      <c r="D6" s="323" t="s">
        <v>129</v>
      </c>
      <c r="E6" s="9" t="s">
        <v>127</v>
      </c>
      <c r="F6" s="10" t="s">
        <v>128</v>
      </c>
      <c r="G6" s="11" t="s">
        <v>129</v>
      </c>
      <c r="H6" s="238"/>
      <c r="I6" s="238"/>
      <c r="J6" s="238"/>
      <c r="K6" s="238"/>
      <c r="L6" s="238"/>
      <c r="M6" s="238"/>
      <c r="N6" s="238"/>
      <c r="O6" s="238"/>
      <c r="P6" s="238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</row>
    <row r="7" spans="1:49" x14ac:dyDescent="0.25">
      <c r="A7" s="5" t="s">
        <v>310</v>
      </c>
      <c r="B7" s="433"/>
      <c r="C7" s="434"/>
      <c r="D7" s="324">
        <f>B7*C7</f>
        <v>0</v>
      </c>
      <c r="E7" s="433"/>
      <c r="F7" s="439"/>
      <c r="G7" s="13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</row>
    <row r="8" spans="1:49" x14ac:dyDescent="0.25">
      <c r="A8" s="5" t="s">
        <v>311</v>
      </c>
      <c r="B8" s="435">
        <v>1662</v>
      </c>
      <c r="C8" s="436">
        <v>0.85</v>
      </c>
      <c r="D8" s="325">
        <f t="shared" ref="D8:D12" si="0">B8*C8</f>
        <v>1412.7</v>
      </c>
      <c r="E8" s="435"/>
      <c r="F8" s="440"/>
      <c r="G8" s="1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</row>
    <row r="9" spans="1:49" x14ac:dyDescent="0.25">
      <c r="A9" s="5" t="s">
        <v>312</v>
      </c>
      <c r="B9" s="435">
        <v>1</v>
      </c>
      <c r="C9" s="436">
        <v>1600</v>
      </c>
      <c r="D9" s="325">
        <f t="shared" si="0"/>
        <v>1600</v>
      </c>
      <c r="E9" s="435"/>
      <c r="F9" s="440"/>
      <c r="G9" s="1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</row>
    <row r="10" spans="1:49" x14ac:dyDescent="0.25">
      <c r="A10" s="5" t="s">
        <v>70</v>
      </c>
      <c r="B10" s="435"/>
      <c r="C10" s="436"/>
      <c r="D10" s="325">
        <f t="shared" si="0"/>
        <v>0</v>
      </c>
      <c r="E10" s="435"/>
      <c r="F10" s="440"/>
      <c r="G10" s="1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</row>
    <row r="11" spans="1:49" x14ac:dyDescent="0.25">
      <c r="A11" s="5" t="s">
        <v>313</v>
      </c>
      <c r="B11" s="435"/>
      <c r="C11" s="436"/>
      <c r="D11" s="325">
        <f t="shared" si="0"/>
        <v>0</v>
      </c>
      <c r="E11" s="435"/>
      <c r="F11" s="440"/>
      <c r="G11" s="1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</row>
    <row r="12" spans="1:49" ht="15.75" thickBot="1" x14ac:dyDescent="0.3">
      <c r="A12" s="5" t="s">
        <v>71</v>
      </c>
      <c r="B12" s="437"/>
      <c r="C12" s="438"/>
      <c r="D12" s="326">
        <f t="shared" si="0"/>
        <v>0</v>
      </c>
      <c r="E12" s="437"/>
      <c r="F12" s="441"/>
      <c r="G12" s="16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</row>
    <row r="13" spans="1:49" ht="15.75" thickBot="1" x14ac:dyDescent="0.3">
      <c r="A13" s="7" t="s">
        <v>138</v>
      </c>
      <c r="B13" s="17">
        <f>SUM(B7:B12)</f>
        <v>1663</v>
      </c>
      <c r="C13" s="337"/>
      <c r="D13" s="327">
        <f>SUM(D7:D12)</f>
        <v>3012.7</v>
      </c>
      <c r="E13" s="17">
        <f>SUM(E7:E12)</f>
        <v>0</v>
      </c>
      <c r="F13" s="18"/>
      <c r="G13" s="19">
        <f>SUM(G7:G12)</f>
        <v>0</v>
      </c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</row>
    <row r="14" spans="1:49" ht="15.75" thickBot="1" x14ac:dyDescent="0.3">
      <c r="A14" s="20" t="s">
        <v>314</v>
      </c>
      <c r="B14" s="21"/>
      <c r="C14" s="338"/>
      <c r="D14" s="328"/>
      <c r="E14" s="21"/>
      <c r="F14" s="22"/>
      <c r="G14" s="23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</row>
    <row r="15" spans="1:49" x14ac:dyDescent="0.25">
      <c r="A15" s="24"/>
      <c r="B15" s="25" t="s">
        <v>127</v>
      </c>
      <c r="C15" s="339" t="s">
        <v>128</v>
      </c>
      <c r="D15" s="329" t="s">
        <v>129</v>
      </c>
      <c r="E15" s="25" t="s">
        <v>127</v>
      </c>
      <c r="F15" s="26" t="s">
        <v>128</v>
      </c>
      <c r="G15" s="27" t="s">
        <v>129</v>
      </c>
      <c r="H15" s="238"/>
      <c r="I15" s="238"/>
      <c r="J15" s="238"/>
      <c r="K15" s="238"/>
      <c r="L15" s="238"/>
      <c r="M15" s="238"/>
      <c r="N15" s="238"/>
      <c r="O15" s="238"/>
      <c r="P15" s="238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</row>
    <row r="16" spans="1:49" x14ac:dyDescent="0.25">
      <c r="A16" s="28" t="s">
        <v>73</v>
      </c>
      <c r="B16" s="442">
        <v>0</v>
      </c>
      <c r="C16" s="434">
        <v>0</v>
      </c>
      <c r="D16" s="324">
        <f>B16*C16</f>
        <v>0</v>
      </c>
      <c r="E16" s="442"/>
      <c r="F16" s="439"/>
      <c r="G16" s="13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</row>
    <row r="17" spans="1:37" x14ac:dyDescent="0.25">
      <c r="A17" s="24" t="s">
        <v>315</v>
      </c>
      <c r="B17" s="443">
        <v>5</v>
      </c>
      <c r="C17" s="436">
        <v>30</v>
      </c>
      <c r="D17" s="325">
        <f t="shared" ref="D17:D27" si="1">B17*C17</f>
        <v>150</v>
      </c>
      <c r="E17" s="443"/>
      <c r="F17" s="440"/>
      <c r="G17" s="1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</row>
    <row r="18" spans="1:37" x14ac:dyDescent="0.25">
      <c r="A18" s="24" t="s">
        <v>316</v>
      </c>
      <c r="B18" s="443">
        <v>18.809999999999999</v>
      </c>
      <c r="C18" s="436"/>
      <c r="D18" s="325">
        <f t="shared" si="1"/>
        <v>0</v>
      </c>
      <c r="E18" s="443"/>
      <c r="F18" s="440"/>
      <c r="G18" s="1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</row>
    <row r="19" spans="1:37" x14ac:dyDescent="0.25">
      <c r="A19" s="24" t="s">
        <v>317</v>
      </c>
      <c r="B19" s="443">
        <v>30</v>
      </c>
      <c r="C19" s="436"/>
      <c r="D19" s="325">
        <f t="shared" si="1"/>
        <v>0</v>
      </c>
      <c r="E19" s="443"/>
      <c r="F19" s="440"/>
      <c r="G19" s="1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</row>
    <row r="20" spans="1:37" x14ac:dyDescent="0.25">
      <c r="A20" s="24" t="s">
        <v>318</v>
      </c>
      <c r="B20" s="443"/>
      <c r="C20" s="436"/>
      <c r="D20" s="325">
        <f t="shared" si="1"/>
        <v>0</v>
      </c>
      <c r="E20" s="443"/>
      <c r="F20" s="440"/>
      <c r="G20" s="1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</row>
    <row r="21" spans="1:37" x14ac:dyDescent="0.25">
      <c r="A21" s="24" t="s">
        <v>74</v>
      </c>
      <c r="B21" s="443"/>
      <c r="C21" s="436"/>
      <c r="D21" s="325">
        <f t="shared" si="1"/>
        <v>0</v>
      </c>
      <c r="E21" s="443"/>
      <c r="F21" s="440"/>
      <c r="G21" s="1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</row>
    <row r="22" spans="1:37" x14ac:dyDescent="0.25">
      <c r="A22" s="24" t="s">
        <v>75</v>
      </c>
      <c r="B22" s="443"/>
      <c r="C22" s="436"/>
      <c r="D22" s="325">
        <f t="shared" si="1"/>
        <v>0</v>
      </c>
      <c r="E22" s="443"/>
      <c r="F22" s="440"/>
      <c r="G22" s="1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</row>
    <row r="23" spans="1:37" x14ac:dyDescent="0.25">
      <c r="A23" s="24" t="s">
        <v>77</v>
      </c>
      <c r="B23" s="443"/>
      <c r="C23" s="436"/>
      <c r="D23" s="325">
        <f t="shared" si="1"/>
        <v>0</v>
      </c>
      <c r="E23" s="443"/>
      <c r="F23" s="440"/>
      <c r="G23" s="1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</row>
    <row r="24" spans="1:37" x14ac:dyDescent="0.25">
      <c r="A24" s="24" t="s">
        <v>76</v>
      </c>
      <c r="B24" s="443"/>
      <c r="C24" s="436"/>
      <c r="D24" s="325">
        <f t="shared" si="1"/>
        <v>0</v>
      </c>
      <c r="E24" s="443"/>
      <c r="F24" s="440"/>
      <c r="G24" s="1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</row>
    <row r="25" spans="1:37" x14ac:dyDescent="0.25">
      <c r="A25" s="24" t="s">
        <v>78</v>
      </c>
      <c r="B25" s="443"/>
      <c r="C25" s="436"/>
      <c r="D25" s="325">
        <f t="shared" si="1"/>
        <v>0</v>
      </c>
      <c r="E25" s="443"/>
      <c r="F25" s="440"/>
      <c r="G25" s="1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</row>
    <row r="26" spans="1:37" x14ac:dyDescent="0.25">
      <c r="A26" s="24" t="s">
        <v>71</v>
      </c>
      <c r="B26" s="443"/>
      <c r="C26" s="436"/>
      <c r="D26" s="325">
        <f t="shared" si="1"/>
        <v>0</v>
      </c>
      <c r="E26" s="443"/>
      <c r="F26" s="440"/>
      <c r="G26" s="1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</row>
    <row r="27" spans="1:37" x14ac:dyDescent="0.25">
      <c r="A27" s="24" t="s">
        <v>79</v>
      </c>
      <c r="B27" s="443"/>
      <c r="C27" s="436"/>
      <c r="D27" s="325">
        <f t="shared" si="1"/>
        <v>0</v>
      </c>
      <c r="E27" s="443"/>
      <c r="F27" s="440"/>
      <c r="G27" s="1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</row>
    <row r="28" spans="1:37" x14ac:dyDescent="0.25">
      <c r="A28" s="29" t="s">
        <v>319</v>
      </c>
      <c r="B28" s="30" t="s">
        <v>127</v>
      </c>
      <c r="C28" s="340" t="s">
        <v>128</v>
      </c>
      <c r="D28" s="330" t="s">
        <v>129</v>
      </c>
      <c r="E28" s="30" t="s">
        <v>127</v>
      </c>
      <c r="F28" s="256" t="s">
        <v>128</v>
      </c>
      <c r="G28" s="31" t="s">
        <v>129</v>
      </c>
      <c r="H28" s="238"/>
      <c r="I28" s="238"/>
      <c r="J28" s="238"/>
      <c r="K28" s="238"/>
      <c r="L28" s="238"/>
      <c r="M28" s="238"/>
      <c r="N28" s="238"/>
      <c r="O28" s="238"/>
      <c r="P28" s="238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</row>
    <row r="29" spans="1:37" x14ac:dyDescent="0.25">
      <c r="A29" s="4" t="s">
        <v>320</v>
      </c>
      <c r="B29" s="435"/>
      <c r="C29" s="436"/>
      <c r="D29" s="325">
        <f>B29*C29</f>
        <v>0</v>
      </c>
      <c r="E29" s="435"/>
      <c r="F29" s="440"/>
      <c r="G29" s="1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</row>
    <row r="30" spans="1:37" x14ac:dyDescent="0.25">
      <c r="A30" s="4" t="s">
        <v>134</v>
      </c>
      <c r="B30" s="435"/>
      <c r="C30" s="436"/>
      <c r="D30" s="325">
        <f t="shared" ref="D30:D36" si="2">B30*C30</f>
        <v>0</v>
      </c>
      <c r="E30" s="435"/>
      <c r="F30" s="440"/>
      <c r="G30" s="1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</row>
    <row r="31" spans="1:37" x14ac:dyDescent="0.25">
      <c r="A31" s="4" t="s">
        <v>135</v>
      </c>
      <c r="B31" s="435"/>
      <c r="C31" s="436"/>
      <c r="D31" s="325">
        <f t="shared" si="2"/>
        <v>0</v>
      </c>
      <c r="E31" s="435"/>
      <c r="F31" s="440"/>
      <c r="G31" s="1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</row>
    <row r="32" spans="1:37" x14ac:dyDescent="0.25">
      <c r="A32" s="4" t="s">
        <v>321</v>
      </c>
      <c r="B32" s="435"/>
      <c r="C32" s="436"/>
      <c r="D32" s="325">
        <f t="shared" si="2"/>
        <v>0</v>
      </c>
      <c r="E32" s="435"/>
      <c r="F32" s="440"/>
      <c r="G32" s="1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</row>
    <row r="33" spans="1:37" x14ac:dyDescent="0.25">
      <c r="A33" s="4" t="s">
        <v>136</v>
      </c>
      <c r="B33" s="435"/>
      <c r="C33" s="436"/>
      <c r="D33" s="325">
        <f t="shared" si="2"/>
        <v>0</v>
      </c>
      <c r="E33" s="435"/>
      <c r="F33" s="440"/>
      <c r="G33" s="1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</row>
    <row r="34" spans="1:37" x14ac:dyDescent="0.25">
      <c r="A34" s="4" t="s">
        <v>137</v>
      </c>
      <c r="B34" s="435"/>
      <c r="C34" s="436"/>
      <c r="D34" s="325">
        <f t="shared" si="2"/>
        <v>0</v>
      </c>
      <c r="E34" s="435"/>
      <c r="F34" s="440"/>
      <c r="G34" s="1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</row>
    <row r="35" spans="1:37" x14ac:dyDescent="0.25">
      <c r="A35" s="4" t="s">
        <v>322</v>
      </c>
      <c r="B35" s="435"/>
      <c r="C35" s="436"/>
      <c r="D35" s="325">
        <f t="shared" si="2"/>
        <v>0</v>
      </c>
      <c r="E35" s="435"/>
      <c r="F35" s="440"/>
      <c r="G35" s="1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</row>
    <row r="36" spans="1:37" x14ac:dyDescent="0.25">
      <c r="A36" s="4" t="s">
        <v>323</v>
      </c>
      <c r="B36" s="435"/>
      <c r="C36" s="436"/>
      <c r="D36" s="325">
        <f t="shared" si="2"/>
        <v>0</v>
      </c>
      <c r="E36" s="435"/>
      <c r="F36" s="440"/>
      <c r="G36" s="1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</row>
    <row r="37" spans="1:37" x14ac:dyDescent="0.25">
      <c r="A37" s="29" t="s">
        <v>80</v>
      </c>
      <c r="B37" s="30" t="s">
        <v>127</v>
      </c>
      <c r="C37" s="340" t="s">
        <v>128</v>
      </c>
      <c r="D37" s="330" t="s">
        <v>129</v>
      </c>
      <c r="E37" s="30" t="s">
        <v>127</v>
      </c>
      <c r="F37" s="256" t="s">
        <v>128</v>
      </c>
      <c r="G37" s="31" t="s">
        <v>129</v>
      </c>
      <c r="H37" s="238"/>
      <c r="I37" s="238"/>
      <c r="J37" s="238"/>
      <c r="K37" s="238"/>
      <c r="L37" s="238"/>
      <c r="M37" s="238"/>
      <c r="N37" s="238"/>
      <c r="O37" s="238"/>
      <c r="P37" s="238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</row>
    <row r="38" spans="1:37" x14ac:dyDescent="0.25">
      <c r="A38" s="24" t="s">
        <v>325</v>
      </c>
      <c r="B38" s="443"/>
      <c r="C38" s="436"/>
      <c r="D38" s="325">
        <f>C38*B38</f>
        <v>0</v>
      </c>
      <c r="E38" s="443"/>
      <c r="F38" s="440"/>
      <c r="G38" s="1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</row>
    <row r="39" spans="1:37" x14ac:dyDescent="0.25">
      <c r="A39" s="24" t="s">
        <v>324</v>
      </c>
      <c r="B39" s="443"/>
      <c r="C39" s="436"/>
      <c r="D39" s="325">
        <f t="shared" ref="D39:D45" si="3">C39*B39</f>
        <v>0</v>
      </c>
      <c r="E39" s="443"/>
      <c r="F39" s="440"/>
      <c r="G39" s="1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</row>
    <row r="40" spans="1:37" x14ac:dyDescent="0.25">
      <c r="A40" s="24" t="s">
        <v>81</v>
      </c>
      <c r="B40" s="443">
        <v>4</v>
      </c>
      <c r="C40" s="436">
        <v>27.75</v>
      </c>
      <c r="D40" s="325">
        <f t="shared" si="3"/>
        <v>111</v>
      </c>
      <c r="E40" s="443"/>
      <c r="F40" s="440"/>
      <c r="G40" s="1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</row>
    <row r="41" spans="1:37" x14ac:dyDescent="0.25">
      <c r="A41" s="24" t="s">
        <v>82</v>
      </c>
      <c r="B41" s="443">
        <v>12</v>
      </c>
      <c r="C41" s="436">
        <v>21.75</v>
      </c>
      <c r="D41" s="325">
        <f t="shared" si="3"/>
        <v>261</v>
      </c>
      <c r="E41" s="443"/>
      <c r="F41" s="440"/>
      <c r="G41" s="1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</row>
    <row r="42" spans="1:37" x14ac:dyDescent="0.25">
      <c r="A42" s="24" t="s">
        <v>83</v>
      </c>
      <c r="B42" s="443">
        <v>4</v>
      </c>
      <c r="C42" s="436">
        <v>43.25</v>
      </c>
      <c r="D42" s="325">
        <f t="shared" si="3"/>
        <v>173</v>
      </c>
      <c r="E42" s="443"/>
      <c r="F42" s="440"/>
      <c r="G42" s="1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</row>
    <row r="43" spans="1:37" x14ac:dyDescent="0.25">
      <c r="A43" s="24" t="s">
        <v>84</v>
      </c>
      <c r="B43" s="443">
        <v>4</v>
      </c>
      <c r="C43" s="436">
        <v>70</v>
      </c>
      <c r="D43" s="325">
        <f t="shared" si="3"/>
        <v>280</v>
      </c>
      <c r="E43" s="443"/>
      <c r="F43" s="440"/>
      <c r="G43" s="1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</row>
    <row r="44" spans="1:37" x14ac:dyDescent="0.25">
      <c r="A44" s="24" t="s">
        <v>85</v>
      </c>
      <c r="B44" s="443"/>
      <c r="C44" s="436"/>
      <c r="D44" s="325">
        <f t="shared" si="3"/>
        <v>0</v>
      </c>
      <c r="E44" s="443"/>
      <c r="F44" s="440"/>
      <c r="G44" s="1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</row>
    <row r="45" spans="1:37" x14ac:dyDescent="0.25">
      <c r="A45" s="24" t="s">
        <v>86</v>
      </c>
      <c r="B45" s="443"/>
      <c r="C45" s="436"/>
      <c r="D45" s="325">
        <f t="shared" si="3"/>
        <v>0</v>
      </c>
      <c r="E45" s="443"/>
      <c r="F45" s="440"/>
      <c r="G45" s="1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</row>
    <row r="46" spans="1:37" x14ac:dyDescent="0.25">
      <c r="A46" s="32" t="s">
        <v>87</v>
      </c>
      <c r="B46" s="33" t="s">
        <v>127</v>
      </c>
      <c r="C46" s="340" t="s">
        <v>128</v>
      </c>
      <c r="D46" s="330" t="s">
        <v>129</v>
      </c>
      <c r="E46" s="33" t="s">
        <v>127</v>
      </c>
      <c r="F46" s="256" t="s">
        <v>128</v>
      </c>
      <c r="G46" s="31" t="s">
        <v>129</v>
      </c>
      <c r="H46" s="238"/>
      <c r="I46" s="238"/>
      <c r="J46" s="238"/>
      <c r="K46" s="238"/>
      <c r="L46" s="238"/>
      <c r="M46" s="238"/>
      <c r="N46" s="238"/>
      <c r="O46" s="238"/>
      <c r="P46" s="238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</row>
    <row r="47" spans="1:37" x14ac:dyDescent="0.25">
      <c r="A47" s="24" t="s">
        <v>89</v>
      </c>
      <c r="B47" s="443"/>
      <c r="C47" s="436"/>
      <c r="D47" s="325">
        <f>B47*C47</f>
        <v>0</v>
      </c>
      <c r="E47" s="443"/>
      <c r="F47" s="440"/>
      <c r="G47" s="1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</row>
    <row r="48" spans="1:37" x14ac:dyDescent="0.25">
      <c r="A48" s="24" t="s">
        <v>90</v>
      </c>
      <c r="B48" s="444"/>
      <c r="C48" s="445"/>
      <c r="D48" s="331">
        <f t="shared" ref="D48:D52" si="4">B48*C48</f>
        <v>0</v>
      </c>
      <c r="E48" s="444"/>
      <c r="F48" s="446"/>
      <c r="G48" s="34"/>
      <c r="H48" s="239"/>
      <c r="I48" s="239"/>
      <c r="J48" s="239"/>
      <c r="K48" s="239"/>
      <c r="L48" s="239"/>
      <c r="M48" s="239"/>
      <c r="N48" s="239"/>
      <c r="O48" s="239"/>
      <c r="P48" s="239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</row>
    <row r="49" spans="1:37" x14ac:dyDescent="0.25">
      <c r="A49" s="24" t="s">
        <v>91</v>
      </c>
      <c r="B49" s="443"/>
      <c r="C49" s="436"/>
      <c r="D49" s="325">
        <f t="shared" si="4"/>
        <v>0</v>
      </c>
      <c r="E49" s="443"/>
      <c r="F49" s="440"/>
      <c r="G49" s="1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</row>
    <row r="50" spans="1:37" x14ac:dyDescent="0.25">
      <c r="A50" s="24" t="s">
        <v>92</v>
      </c>
      <c r="B50" s="443"/>
      <c r="C50" s="436"/>
      <c r="D50" s="325">
        <f t="shared" si="4"/>
        <v>0</v>
      </c>
      <c r="E50" s="443"/>
      <c r="F50" s="440"/>
      <c r="G50" s="1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</row>
    <row r="51" spans="1:37" x14ac:dyDescent="0.25">
      <c r="A51" s="24" t="s">
        <v>93</v>
      </c>
      <c r="B51" s="443"/>
      <c r="C51" s="436"/>
      <c r="D51" s="325">
        <f t="shared" si="4"/>
        <v>0</v>
      </c>
      <c r="E51" s="443"/>
      <c r="F51" s="440"/>
      <c r="G51" s="1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</row>
    <row r="52" spans="1:37" x14ac:dyDescent="0.25">
      <c r="A52" s="24" t="s">
        <v>94</v>
      </c>
      <c r="B52" s="443"/>
      <c r="C52" s="436"/>
      <c r="D52" s="325">
        <f t="shared" si="4"/>
        <v>0</v>
      </c>
      <c r="E52" s="443"/>
      <c r="F52" s="440"/>
      <c r="G52" s="1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</row>
    <row r="53" spans="1:37" x14ac:dyDescent="0.25">
      <c r="A53" s="29" t="s">
        <v>88</v>
      </c>
      <c r="B53" s="30" t="s">
        <v>127</v>
      </c>
      <c r="C53" s="340" t="s">
        <v>128</v>
      </c>
      <c r="D53" s="330" t="s">
        <v>129</v>
      </c>
      <c r="E53" s="30" t="s">
        <v>127</v>
      </c>
      <c r="F53" s="256" t="s">
        <v>128</v>
      </c>
      <c r="G53" s="31" t="s">
        <v>129</v>
      </c>
      <c r="H53" s="238"/>
      <c r="I53" s="238"/>
      <c r="J53" s="238"/>
      <c r="K53" s="238"/>
      <c r="L53" s="238"/>
      <c r="M53" s="238"/>
      <c r="N53" s="238"/>
      <c r="O53" s="238"/>
      <c r="P53" s="238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</row>
    <row r="54" spans="1:37" x14ac:dyDescent="0.25">
      <c r="A54" s="24" t="s">
        <v>95</v>
      </c>
      <c r="B54" s="443"/>
      <c r="C54" s="436"/>
      <c r="D54" s="325">
        <f>B54*C54</f>
        <v>0</v>
      </c>
      <c r="E54" s="443"/>
      <c r="F54" s="440"/>
      <c r="G54" s="1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</row>
    <row r="55" spans="1:37" x14ac:dyDescent="0.25">
      <c r="A55" s="24" t="s">
        <v>96</v>
      </c>
      <c r="B55" s="443"/>
      <c r="C55" s="436"/>
      <c r="D55" s="325">
        <f t="shared" ref="D55:D65" si="5">B55*C55</f>
        <v>0</v>
      </c>
      <c r="E55" s="443"/>
      <c r="F55" s="440"/>
      <c r="G55" s="1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</row>
    <row r="56" spans="1:37" x14ac:dyDescent="0.25">
      <c r="A56" s="24" t="s">
        <v>326</v>
      </c>
      <c r="B56" s="443"/>
      <c r="C56" s="436"/>
      <c r="D56" s="325">
        <f t="shared" si="5"/>
        <v>0</v>
      </c>
      <c r="E56" s="443"/>
      <c r="F56" s="440"/>
      <c r="G56" s="1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</row>
    <row r="57" spans="1:37" x14ac:dyDescent="0.25">
      <c r="A57" s="24" t="s">
        <v>97</v>
      </c>
      <c r="B57" s="443"/>
      <c r="C57" s="436"/>
      <c r="D57" s="325">
        <f t="shared" si="5"/>
        <v>0</v>
      </c>
      <c r="E57" s="443"/>
      <c r="F57" s="440"/>
      <c r="G57" s="1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</row>
    <row r="58" spans="1:37" x14ac:dyDescent="0.25">
      <c r="A58" s="24" t="s">
        <v>98</v>
      </c>
      <c r="B58" s="443"/>
      <c r="C58" s="436"/>
      <c r="D58" s="325">
        <f t="shared" si="5"/>
        <v>0</v>
      </c>
      <c r="E58" s="443"/>
      <c r="F58" s="440"/>
      <c r="G58" s="1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</row>
    <row r="59" spans="1:37" x14ac:dyDescent="0.25">
      <c r="A59" s="24" t="s">
        <v>99</v>
      </c>
      <c r="B59" s="444"/>
      <c r="C59" s="445"/>
      <c r="D59" s="325">
        <f t="shared" si="5"/>
        <v>0</v>
      </c>
      <c r="E59" s="444"/>
      <c r="F59" s="446"/>
      <c r="G59" s="34"/>
      <c r="H59" s="239"/>
      <c r="I59" s="239"/>
      <c r="J59" s="239"/>
      <c r="K59" s="239"/>
      <c r="L59" s="239"/>
      <c r="M59" s="239"/>
      <c r="N59" s="239"/>
      <c r="O59" s="239"/>
      <c r="P59" s="239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</row>
    <row r="60" spans="1:37" x14ac:dyDescent="0.25">
      <c r="A60" s="24" t="s">
        <v>100</v>
      </c>
      <c r="B60" s="443"/>
      <c r="C60" s="436"/>
      <c r="D60" s="325">
        <f t="shared" si="5"/>
        <v>0</v>
      </c>
      <c r="E60" s="443"/>
      <c r="F60" s="440"/>
      <c r="G60" s="1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</row>
    <row r="61" spans="1:37" x14ac:dyDescent="0.25">
      <c r="A61" s="24" t="s">
        <v>101</v>
      </c>
      <c r="B61" s="443"/>
      <c r="C61" s="436"/>
      <c r="D61" s="325">
        <f t="shared" si="5"/>
        <v>0</v>
      </c>
      <c r="E61" s="443"/>
      <c r="F61" s="440"/>
      <c r="G61" s="1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</row>
    <row r="62" spans="1:37" x14ac:dyDescent="0.25">
      <c r="A62" s="24" t="s">
        <v>102</v>
      </c>
      <c r="B62" s="443"/>
      <c r="C62" s="436"/>
      <c r="D62" s="325">
        <f t="shared" si="5"/>
        <v>0</v>
      </c>
      <c r="E62" s="443"/>
      <c r="F62" s="440"/>
      <c r="G62" s="1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</row>
    <row r="63" spans="1:37" x14ac:dyDescent="0.25">
      <c r="A63" s="24" t="s">
        <v>103</v>
      </c>
      <c r="B63" s="443"/>
      <c r="C63" s="436"/>
      <c r="D63" s="325">
        <f t="shared" si="5"/>
        <v>0</v>
      </c>
      <c r="E63" s="443"/>
      <c r="F63" s="440"/>
      <c r="G63" s="1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</row>
    <row r="64" spans="1:37" x14ac:dyDescent="0.25">
      <c r="A64" s="24" t="s">
        <v>104</v>
      </c>
      <c r="B64" s="443"/>
      <c r="C64" s="436"/>
      <c r="D64" s="325">
        <f t="shared" si="5"/>
        <v>0</v>
      </c>
      <c r="E64" s="443"/>
      <c r="F64" s="440"/>
      <c r="G64" s="1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</row>
    <row r="65" spans="1:37" x14ac:dyDescent="0.25">
      <c r="A65" s="24" t="s">
        <v>327</v>
      </c>
      <c r="B65" s="443"/>
      <c r="C65" s="436"/>
      <c r="D65" s="325">
        <f t="shared" si="5"/>
        <v>0</v>
      </c>
      <c r="E65" s="443"/>
      <c r="F65" s="440"/>
      <c r="G65" s="1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</row>
    <row r="66" spans="1:37" x14ac:dyDescent="0.25">
      <c r="A66" s="29" t="s">
        <v>105</v>
      </c>
      <c r="B66" s="30" t="s">
        <v>127</v>
      </c>
      <c r="C66" s="340" t="s">
        <v>128</v>
      </c>
      <c r="D66" s="330" t="s">
        <v>129</v>
      </c>
      <c r="E66" s="30" t="s">
        <v>127</v>
      </c>
      <c r="F66" s="256" t="s">
        <v>128</v>
      </c>
      <c r="G66" s="31" t="s">
        <v>129</v>
      </c>
      <c r="H66" s="238"/>
      <c r="I66" s="238"/>
      <c r="J66" s="238"/>
      <c r="K66" s="238"/>
      <c r="L66" s="238"/>
      <c r="M66" s="238"/>
      <c r="N66" s="238"/>
      <c r="O66" s="238"/>
      <c r="P66" s="238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</row>
    <row r="67" spans="1:37" x14ac:dyDescent="0.25">
      <c r="A67" s="4" t="s">
        <v>106</v>
      </c>
      <c r="B67" s="443"/>
      <c r="C67" s="436"/>
      <c r="D67" s="325">
        <f>B67*C67</f>
        <v>0</v>
      </c>
      <c r="E67" s="443"/>
      <c r="F67" s="440"/>
      <c r="G67" s="1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</row>
    <row r="68" spans="1:37" x14ac:dyDescent="0.25">
      <c r="A68" s="4" t="s">
        <v>107</v>
      </c>
      <c r="B68" s="443"/>
      <c r="C68" s="436"/>
      <c r="D68" s="325">
        <f t="shared" ref="D68:D70" si="6">B68*C68</f>
        <v>0</v>
      </c>
      <c r="E68" s="443"/>
      <c r="F68" s="440"/>
      <c r="G68" s="1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</row>
    <row r="69" spans="1:37" x14ac:dyDescent="0.25">
      <c r="A69" s="4" t="s">
        <v>108</v>
      </c>
      <c r="B69" s="443"/>
      <c r="C69" s="436"/>
      <c r="D69" s="325">
        <f t="shared" si="6"/>
        <v>0</v>
      </c>
      <c r="E69" s="443"/>
      <c r="F69" s="440"/>
      <c r="G69" s="1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</row>
    <row r="70" spans="1:37" x14ac:dyDescent="0.25">
      <c r="A70" s="4" t="s">
        <v>109</v>
      </c>
      <c r="B70" s="443">
        <v>1</v>
      </c>
      <c r="C70" s="436">
        <v>15</v>
      </c>
      <c r="D70" s="325">
        <f t="shared" si="6"/>
        <v>15</v>
      </c>
      <c r="E70" s="443"/>
      <c r="F70" s="440"/>
      <c r="G70" s="1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</row>
    <row r="71" spans="1:37" x14ac:dyDescent="0.25">
      <c r="A71" s="29" t="s">
        <v>110</v>
      </c>
      <c r="B71" s="30" t="s">
        <v>127</v>
      </c>
      <c r="C71" s="340" t="s">
        <v>128</v>
      </c>
      <c r="D71" s="330" t="s">
        <v>129</v>
      </c>
      <c r="E71" s="30" t="s">
        <v>127</v>
      </c>
      <c r="F71" s="256" t="s">
        <v>128</v>
      </c>
      <c r="G71" s="31" t="s">
        <v>129</v>
      </c>
      <c r="H71" s="238"/>
      <c r="I71" s="238"/>
      <c r="J71" s="238"/>
      <c r="K71" s="238"/>
      <c r="L71" s="238"/>
      <c r="M71" s="238"/>
      <c r="N71" s="238"/>
      <c r="O71" s="238"/>
      <c r="P71" s="238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</row>
    <row r="72" spans="1:37" x14ac:dyDescent="0.25">
      <c r="A72" s="4" t="s">
        <v>111</v>
      </c>
      <c r="B72" s="443"/>
      <c r="C72" s="436"/>
      <c r="D72" s="325">
        <f>B72*C72</f>
        <v>0</v>
      </c>
      <c r="E72" s="443"/>
      <c r="F72" s="440"/>
      <c r="G72" s="1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</row>
    <row r="73" spans="1:37" x14ac:dyDescent="0.25">
      <c r="A73" s="4" t="s">
        <v>112</v>
      </c>
      <c r="B73" s="443"/>
      <c r="C73" s="436"/>
      <c r="D73" s="325">
        <f t="shared" ref="D73:D76" si="7">B73*C73</f>
        <v>0</v>
      </c>
      <c r="E73" s="443"/>
      <c r="F73" s="440"/>
      <c r="G73" s="1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</row>
    <row r="74" spans="1:37" x14ac:dyDescent="0.25">
      <c r="A74" s="4" t="s">
        <v>113</v>
      </c>
      <c r="B74" s="443"/>
      <c r="C74" s="436"/>
      <c r="D74" s="325">
        <f t="shared" si="7"/>
        <v>0</v>
      </c>
      <c r="E74" s="443"/>
      <c r="F74" s="440"/>
      <c r="G74" s="1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</row>
    <row r="75" spans="1:37" x14ac:dyDescent="0.25">
      <c r="A75" s="4" t="s">
        <v>328</v>
      </c>
      <c r="B75" s="443"/>
      <c r="C75" s="436"/>
      <c r="D75" s="325">
        <f t="shared" si="7"/>
        <v>0</v>
      </c>
      <c r="E75" s="443"/>
      <c r="F75" s="440"/>
      <c r="G75" s="1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</row>
    <row r="76" spans="1:37" ht="15.75" thickBot="1" x14ac:dyDescent="0.3">
      <c r="A76" s="4" t="s">
        <v>114</v>
      </c>
      <c r="B76" s="443"/>
      <c r="C76" s="436"/>
      <c r="D76" s="325">
        <f t="shared" si="7"/>
        <v>0</v>
      </c>
      <c r="E76" s="443"/>
      <c r="F76" s="440"/>
      <c r="G76" s="1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</row>
    <row r="77" spans="1:37" ht="15.75" thickBot="1" x14ac:dyDescent="0.3">
      <c r="A77" s="21" t="s">
        <v>329</v>
      </c>
      <c r="B77" s="36" t="s">
        <v>127</v>
      </c>
      <c r="C77" s="341" t="s">
        <v>128</v>
      </c>
      <c r="D77" s="332" t="s">
        <v>129</v>
      </c>
      <c r="E77" s="36" t="s">
        <v>127</v>
      </c>
      <c r="F77" s="37" t="s">
        <v>128</v>
      </c>
      <c r="G77" s="38" t="s">
        <v>129</v>
      </c>
      <c r="H77" s="238"/>
      <c r="I77" s="238"/>
      <c r="J77" s="238"/>
      <c r="K77" s="238"/>
      <c r="L77" s="238"/>
      <c r="M77" s="238"/>
      <c r="N77" s="238"/>
      <c r="O77" s="238"/>
      <c r="P77" s="238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</row>
    <row r="78" spans="1:37" x14ac:dyDescent="0.25">
      <c r="A78" s="4" t="s">
        <v>130</v>
      </c>
      <c r="B78" s="443"/>
      <c r="C78" s="436"/>
      <c r="D78" s="325">
        <f>B78*C78</f>
        <v>0</v>
      </c>
      <c r="E78" s="443"/>
      <c r="F78" s="440"/>
      <c r="G78" s="1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</row>
    <row r="79" spans="1:37" x14ac:dyDescent="0.25">
      <c r="A79" s="4" t="s">
        <v>131</v>
      </c>
      <c r="B79" s="443"/>
      <c r="C79" s="436"/>
      <c r="D79" s="325">
        <f t="shared" ref="D79:D81" si="8">B79*C79</f>
        <v>0</v>
      </c>
      <c r="E79" s="443"/>
      <c r="F79" s="440"/>
      <c r="G79" s="1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</row>
    <row r="80" spans="1:37" x14ac:dyDescent="0.25">
      <c r="A80" s="4" t="s">
        <v>132</v>
      </c>
      <c r="B80" s="443"/>
      <c r="C80" s="436"/>
      <c r="D80" s="325">
        <f t="shared" si="8"/>
        <v>0</v>
      </c>
      <c r="E80" s="443"/>
      <c r="F80" s="440"/>
      <c r="G80" s="1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</row>
    <row r="81" spans="1:37" ht="15.75" thickBot="1" x14ac:dyDescent="0.3">
      <c r="A81" s="4"/>
      <c r="B81" s="443"/>
      <c r="C81" s="436"/>
      <c r="D81" s="325">
        <f t="shared" si="8"/>
        <v>0</v>
      </c>
      <c r="E81" s="443"/>
      <c r="F81" s="440"/>
      <c r="G81" s="1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</row>
    <row r="82" spans="1:37" ht="15.75" thickBot="1" x14ac:dyDescent="0.3">
      <c r="A82" s="21" t="s">
        <v>353</v>
      </c>
      <c r="B82" s="36" t="s">
        <v>127</v>
      </c>
      <c r="C82" s="341" t="s">
        <v>128</v>
      </c>
      <c r="D82" s="332" t="s">
        <v>129</v>
      </c>
      <c r="E82" s="36" t="s">
        <v>127</v>
      </c>
      <c r="F82" s="37" t="s">
        <v>128</v>
      </c>
      <c r="G82" s="38" t="s">
        <v>129</v>
      </c>
      <c r="H82" s="238"/>
      <c r="I82" s="238"/>
      <c r="J82" s="238"/>
      <c r="K82" s="238"/>
      <c r="L82" s="238"/>
      <c r="M82" s="238"/>
      <c r="N82" s="238"/>
      <c r="O82" s="238"/>
      <c r="P82" s="238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</row>
    <row r="83" spans="1:37" ht="15.75" thickBot="1" x14ac:dyDescent="0.3">
      <c r="A83" s="241" t="s">
        <v>330</v>
      </c>
      <c r="B83" s="447"/>
      <c r="C83" s="448"/>
      <c r="D83" s="327">
        <f>B83*C83</f>
        <v>0</v>
      </c>
      <c r="E83" s="447"/>
      <c r="F83" s="450"/>
      <c r="G83" s="19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</row>
    <row r="84" spans="1:37" ht="15.75" thickBot="1" x14ac:dyDescent="0.3">
      <c r="A84" s="7" t="s">
        <v>354</v>
      </c>
      <c r="B84" s="35"/>
      <c r="C84" s="342"/>
      <c r="D84" s="333">
        <f>SUM(D83,D78:D81,D72:D76,D67:D70,D54:D65,D47:D52,D38:D45,D29:D36,D16:D27,D7:D12)</f>
        <v>4002.7</v>
      </c>
      <c r="E84" s="35"/>
      <c r="F84" s="35"/>
      <c r="G84" s="240">
        <f>SUM(G83,G78:G81,G72:G76,G67:G70,G54:G65,G47:G52,G38:G45,G29:G36,G16:G27,G7:G12)</f>
        <v>0</v>
      </c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</row>
    <row r="85" spans="1:37" ht="15.75" thickBot="1" x14ac:dyDescent="0.3">
      <c r="A85" s="6" t="s">
        <v>133</v>
      </c>
      <c r="B85" s="449"/>
      <c r="C85" s="438"/>
      <c r="D85" s="334">
        <f>B85*C85</f>
        <v>0</v>
      </c>
      <c r="E85" s="449"/>
      <c r="F85" s="441"/>
      <c r="G85" s="237">
        <f>F85*E85</f>
        <v>0</v>
      </c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</row>
    <row r="86" spans="1:37" x14ac:dyDescent="0.25">
      <c r="B86" s="5"/>
      <c r="C86" s="335"/>
      <c r="D86" s="33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</row>
    <row r="87" spans="1:37" x14ac:dyDescent="0.25">
      <c r="B87" s="5"/>
      <c r="C87" s="335"/>
      <c r="D87" s="33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</row>
  </sheetData>
  <sheetProtection sheet="1" objects="1" scenarios="1"/>
  <mergeCells count="3">
    <mergeCell ref="A2:B4"/>
    <mergeCell ref="B5:D5"/>
    <mergeCell ref="E5:G5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800100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A1:S153"/>
  <sheetViews>
    <sheetView workbookViewId="0">
      <selection activeCell="C2" sqref="C2"/>
    </sheetView>
  </sheetViews>
  <sheetFormatPr defaultRowHeight="15" x14ac:dyDescent="0.25"/>
  <cols>
    <col min="1" max="1" width="38.7109375" style="1" customWidth="1"/>
    <col min="2" max="2" width="9.140625" style="1"/>
    <col min="3" max="15" width="10.140625" style="1" customWidth="1"/>
    <col min="16" max="16384" width="9.140625" style="1"/>
  </cols>
  <sheetData>
    <row r="1" spans="1:17" x14ac:dyDescent="0.25">
      <c r="D1" s="181"/>
    </row>
    <row r="2" spans="1:17" x14ac:dyDescent="0.25">
      <c r="A2" s="287" t="s">
        <v>161</v>
      </c>
      <c r="B2" s="287"/>
    </row>
    <row r="3" spans="1:17" x14ac:dyDescent="0.25">
      <c r="A3" s="287"/>
      <c r="B3" s="287"/>
    </row>
    <row r="4" spans="1:17" x14ac:dyDescent="0.25">
      <c r="A4" s="299"/>
      <c r="B4" s="299"/>
    </row>
    <row r="5" spans="1:17" x14ac:dyDescent="0.25">
      <c r="A5" s="39" t="s">
        <v>142</v>
      </c>
      <c r="B5" s="40"/>
      <c r="C5" s="41" t="s">
        <v>6</v>
      </c>
      <c r="D5" s="41" t="s">
        <v>7</v>
      </c>
      <c r="E5" s="41" t="s">
        <v>8</v>
      </c>
      <c r="F5" s="41" t="s">
        <v>9</v>
      </c>
      <c r="G5" s="41" t="s">
        <v>10</v>
      </c>
      <c r="H5" s="41" t="s">
        <v>57</v>
      </c>
      <c r="I5" s="41" t="s">
        <v>58</v>
      </c>
      <c r="J5" s="41" t="s">
        <v>69</v>
      </c>
      <c r="K5" s="41" t="s">
        <v>60</v>
      </c>
      <c r="L5" s="41" t="s">
        <v>61</v>
      </c>
      <c r="M5" s="41" t="s">
        <v>62</v>
      </c>
      <c r="N5" s="41" t="s">
        <v>63</v>
      </c>
      <c r="O5" s="42" t="s">
        <v>143</v>
      </c>
    </row>
    <row r="6" spans="1:17" x14ac:dyDescent="0.25">
      <c r="A6" s="296" t="s">
        <v>273</v>
      </c>
      <c r="B6" s="296"/>
      <c r="C6" s="451">
        <v>55.4</v>
      </c>
      <c r="D6" s="451">
        <v>49.2</v>
      </c>
      <c r="E6" s="451"/>
      <c r="F6" s="451"/>
      <c r="G6" s="452"/>
      <c r="H6" s="452"/>
      <c r="I6" s="452"/>
      <c r="J6" s="452"/>
      <c r="K6" s="452"/>
      <c r="L6" s="452"/>
      <c r="M6" s="452"/>
      <c r="N6" s="452"/>
      <c r="O6" s="43">
        <f>AVERAGE(C6:N6)</f>
        <v>52.3</v>
      </c>
    </row>
    <row r="7" spans="1:17" x14ac:dyDescent="0.25">
      <c r="A7" s="297" t="s">
        <v>144</v>
      </c>
      <c r="B7" s="298"/>
      <c r="C7" s="453">
        <v>1662</v>
      </c>
      <c r="D7" s="453">
        <v>1476</v>
      </c>
      <c r="E7" s="454"/>
      <c r="F7" s="454"/>
      <c r="G7" s="455"/>
      <c r="H7" s="455"/>
      <c r="I7" s="455"/>
      <c r="J7" s="455"/>
      <c r="K7" s="455"/>
      <c r="L7" s="455"/>
      <c r="M7" s="455"/>
      <c r="N7" s="455"/>
      <c r="O7" s="43">
        <f>AVERAGE(C7:N7)</f>
        <v>1569</v>
      </c>
    </row>
    <row r="9" spans="1:17" s="5" customFormat="1" x14ac:dyDescent="0.25">
      <c r="A9" s="182"/>
      <c r="B9" s="182"/>
      <c r="C9" s="182"/>
      <c r="D9" s="182"/>
      <c r="E9" s="182"/>
    </row>
    <row r="10" spans="1:17" s="5" customFormat="1" x14ac:dyDescent="0.25">
      <c r="A10" s="243" t="s">
        <v>349</v>
      </c>
      <c r="B10" s="245"/>
      <c r="C10" s="235" t="s">
        <v>6</v>
      </c>
      <c r="D10" s="235" t="s">
        <v>7</v>
      </c>
      <c r="E10" s="235" t="s">
        <v>8</v>
      </c>
      <c r="F10" s="235" t="s">
        <v>9</v>
      </c>
      <c r="G10" s="235" t="s">
        <v>10</v>
      </c>
      <c r="H10" s="235" t="s">
        <v>57</v>
      </c>
      <c r="I10" s="235" t="s">
        <v>58</v>
      </c>
      <c r="J10" s="235" t="s">
        <v>69</v>
      </c>
      <c r="K10" s="235" t="s">
        <v>60</v>
      </c>
      <c r="L10" s="235" t="s">
        <v>61</v>
      </c>
      <c r="M10" s="235" t="s">
        <v>62</v>
      </c>
      <c r="N10" s="235" t="s">
        <v>63</v>
      </c>
      <c r="O10" s="243" t="s">
        <v>348</v>
      </c>
      <c r="P10" s="184"/>
      <c r="Q10" s="184"/>
    </row>
    <row r="11" spans="1:17" s="5" customFormat="1" x14ac:dyDescent="0.25">
      <c r="A11" s="46" t="s">
        <v>331</v>
      </c>
      <c r="C11" s="439">
        <v>7</v>
      </c>
      <c r="D11" s="439">
        <v>7</v>
      </c>
      <c r="E11" s="439"/>
      <c r="F11" s="456"/>
      <c r="G11" s="456"/>
      <c r="H11" s="439"/>
      <c r="I11" s="439"/>
      <c r="J11" s="439"/>
      <c r="K11" s="439"/>
      <c r="L11" s="439">
        <v>7</v>
      </c>
      <c r="M11" s="439">
        <v>7</v>
      </c>
      <c r="N11" s="439">
        <v>8</v>
      </c>
      <c r="O11" s="14">
        <f>AVERAGE(C11:N11)</f>
        <v>7.2</v>
      </c>
    </row>
    <row r="12" spans="1:17" s="5" customFormat="1" x14ac:dyDescent="0.25">
      <c r="A12" s="14" t="s">
        <v>332</v>
      </c>
      <c r="C12" s="440">
        <v>1</v>
      </c>
      <c r="D12" s="440">
        <v>1</v>
      </c>
      <c r="E12" s="440"/>
      <c r="F12" s="457"/>
      <c r="G12" s="457"/>
      <c r="H12" s="440"/>
      <c r="I12" s="440"/>
      <c r="J12" s="440"/>
      <c r="K12" s="440"/>
      <c r="L12" s="440">
        <v>1</v>
      </c>
      <c r="M12" s="440">
        <v>1</v>
      </c>
      <c r="N12" s="440">
        <v>1</v>
      </c>
      <c r="O12" s="14">
        <f t="shared" ref="O12:O31" si="0">AVERAGE(C12:N12)</f>
        <v>1</v>
      </c>
    </row>
    <row r="13" spans="1:17" s="5" customFormat="1" x14ac:dyDescent="0.25">
      <c r="A13" s="14" t="s">
        <v>333</v>
      </c>
      <c r="C13" s="440">
        <v>4</v>
      </c>
      <c r="D13" s="440">
        <v>4</v>
      </c>
      <c r="E13" s="440"/>
      <c r="F13" s="457"/>
      <c r="G13" s="457"/>
      <c r="H13" s="440"/>
      <c r="I13" s="440"/>
      <c r="J13" s="440"/>
      <c r="K13" s="440"/>
      <c r="L13" s="440">
        <v>4</v>
      </c>
      <c r="M13" s="440">
        <v>4</v>
      </c>
      <c r="N13" s="440">
        <v>4</v>
      </c>
      <c r="O13" s="14">
        <f t="shared" si="0"/>
        <v>4</v>
      </c>
    </row>
    <row r="14" spans="1:17" s="5" customFormat="1" x14ac:dyDescent="0.25">
      <c r="A14" s="14" t="s">
        <v>334</v>
      </c>
      <c r="C14" s="440">
        <v>3</v>
      </c>
      <c r="D14" s="440">
        <v>3</v>
      </c>
      <c r="E14" s="440"/>
      <c r="F14" s="457"/>
      <c r="G14" s="457"/>
      <c r="H14" s="440"/>
      <c r="I14" s="440"/>
      <c r="J14" s="440"/>
      <c r="K14" s="440"/>
      <c r="L14" s="440">
        <v>3</v>
      </c>
      <c r="M14" s="440">
        <v>3</v>
      </c>
      <c r="N14" s="440">
        <v>3</v>
      </c>
      <c r="O14" s="14">
        <f t="shared" si="0"/>
        <v>3</v>
      </c>
    </row>
    <row r="15" spans="1:17" s="5" customFormat="1" x14ac:dyDescent="0.25">
      <c r="A15" s="14" t="s">
        <v>335</v>
      </c>
      <c r="C15" s="440">
        <v>4</v>
      </c>
      <c r="D15" s="440">
        <v>4</v>
      </c>
      <c r="E15" s="440"/>
      <c r="F15" s="457"/>
      <c r="G15" s="457"/>
      <c r="H15" s="440"/>
      <c r="I15" s="440"/>
      <c r="J15" s="440"/>
      <c r="K15" s="440"/>
      <c r="L15" s="440">
        <v>4</v>
      </c>
      <c r="M15" s="440">
        <v>4</v>
      </c>
      <c r="N15" s="440">
        <v>4</v>
      </c>
      <c r="O15" s="14">
        <f t="shared" si="0"/>
        <v>4</v>
      </c>
    </row>
    <row r="16" spans="1:17" s="5" customFormat="1" x14ac:dyDescent="0.25">
      <c r="A16" s="14" t="s">
        <v>292</v>
      </c>
      <c r="C16" s="440"/>
      <c r="D16" s="440"/>
      <c r="E16" s="440"/>
      <c r="F16" s="457"/>
      <c r="G16" s="457"/>
      <c r="H16" s="440"/>
      <c r="I16" s="440"/>
      <c r="J16" s="440"/>
      <c r="K16" s="440"/>
      <c r="L16" s="440"/>
      <c r="M16" s="440"/>
      <c r="N16" s="440"/>
      <c r="O16" s="14" t="e">
        <f t="shared" si="0"/>
        <v>#DIV/0!</v>
      </c>
    </row>
    <row r="17" spans="1:17" s="5" customFormat="1" x14ac:dyDescent="0.25">
      <c r="A17" s="14" t="s">
        <v>71</v>
      </c>
      <c r="C17" s="440">
        <v>1</v>
      </c>
      <c r="D17" s="440">
        <v>1</v>
      </c>
      <c r="E17" s="440"/>
      <c r="F17" s="457"/>
      <c r="G17" s="457"/>
      <c r="H17" s="440"/>
      <c r="I17" s="440"/>
      <c r="J17" s="440"/>
      <c r="K17" s="440"/>
      <c r="L17" s="440">
        <v>1</v>
      </c>
      <c r="M17" s="440">
        <v>1</v>
      </c>
      <c r="N17" s="440">
        <v>1</v>
      </c>
      <c r="O17" s="14">
        <f t="shared" si="0"/>
        <v>1</v>
      </c>
    </row>
    <row r="18" spans="1:17" s="5" customFormat="1" x14ac:dyDescent="0.25">
      <c r="A18" s="14" t="s">
        <v>336</v>
      </c>
      <c r="C18" s="440"/>
      <c r="D18" s="440"/>
      <c r="E18" s="440"/>
      <c r="F18" s="457"/>
      <c r="G18" s="457"/>
      <c r="H18" s="440"/>
      <c r="I18" s="440"/>
      <c r="J18" s="440"/>
      <c r="K18" s="440"/>
      <c r="L18" s="440"/>
      <c r="M18" s="457"/>
      <c r="N18" s="458"/>
      <c r="O18" s="14" t="e">
        <f t="shared" si="0"/>
        <v>#DIV/0!</v>
      </c>
    </row>
    <row r="19" spans="1:17" s="5" customFormat="1" x14ac:dyDescent="0.25">
      <c r="A19" s="14" t="s">
        <v>337</v>
      </c>
      <c r="C19" s="440"/>
      <c r="D19" s="440"/>
      <c r="E19" s="440"/>
      <c r="F19" s="457"/>
      <c r="G19" s="457"/>
      <c r="H19" s="440"/>
      <c r="I19" s="440"/>
      <c r="J19" s="440"/>
      <c r="K19" s="440"/>
      <c r="L19" s="440"/>
      <c r="M19" s="457"/>
      <c r="N19" s="458"/>
      <c r="O19" s="14" t="e">
        <f t="shared" si="0"/>
        <v>#DIV/0!</v>
      </c>
    </row>
    <row r="20" spans="1:17" s="5" customFormat="1" x14ac:dyDescent="0.25">
      <c r="A20" s="46" t="s">
        <v>338</v>
      </c>
      <c r="C20" s="440"/>
      <c r="D20" s="440"/>
      <c r="E20" s="440"/>
      <c r="F20" s="459"/>
      <c r="G20" s="459"/>
      <c r="H20" s="440"/>
      <c r="I20" s="440"/>
      <c r="J20" s="440"/>
      <c r="K20" s="440"/>
      <c r="L20" s="440"/>
      <c r="M20" s="459"/>
      <c r="N20" s="458"/>
      <c r="O20" s="14" t="e">
        <f t="shared" si="0"/>
        <v>#DIV/0!</v>
      </c>
    </row>
    <row r="21" spans="1:17" s="5" customFormat="1" x14ac:dyDescent="0.25">
      <c r="A21" s="14"/>
      <c r="C21" s="440"/>
      <c r="D21" s="440"/>
      <c r="E21" s="440"/>
      <c r="F21" s="457"/>
      <c r="G21" s="457"/>
      <c r="H21" s="440"/>
      <c r="I21" s="440"/>
      <c r="J21" s="440"/>
      <c r="K21" s="440"/>
      <c r="L21" s="440"/>
      <c r="M21" s="457"/>
      <c r="N21" s="458"/>
      <c r="O21" s="14" t="e">
        <f t="shared" si="0"/>
        <v>#DIV/0!</v>
      </c>
    </row>
    <row r="22" spans="1:17" s="5" customFormat="1" x14ac:dyDescent="0.25">
      <c r="A22" s="47" t="s">
        <v>339</v>
      </c>
      <c r="B22" s="248"/>
      <c r="C22" s="44"/>
      <c r="D22" s="44"/>
      <c r="E22" s="44"/>
      <c r="F22" s="242"/>
      <c r="G22" s="242"/>
      <c r="H22" s="44"/>
      <c r="I22" s="44"/>
      <c r="J22" s="44"/>
      <c r="K22" s="44"/>
      <c r="L22" s="44"/>
      <c r="M22" s="242"/>
      <c r="N22" s="245"/>
      <c r="O22" s="14"/>
    </row>
    <row r="23" spans="1:17" s="5" customFormat="1" x14ac:dyDescent="0.25">
      <c r="A23" s="14" t="s">
        <v>340</v>
      </c>
      <c r="C23" s="440"/>
      <c r="D23" s="440"/>
      <c r="E23" s="440"/>
      <c r="F23" s="457"/>
      <c r="G23" s="457"/>
      <c r="H23" s="440"/>
      <c r="I23" s="440"/>
      <c r="J23" s="440"/>
      <c r="K23" s="440"/>
      <c r="L23" s="440"/>
      <c r="M23" s="457"/>
      <c r="N23" s="458"/>
      <c r="O23" s="14" t="e">
        <f t="shared" si="0"/>
        <v>#DIV/0!</v>
      </c>
    </row>
    <row r="24" spans="1:17" s="5" customFormat="1" x14ac:dyDescent="0.25">
      <c r="A24" s="14" t="s">
        <v>341</v>
      </c>
      <c r="C24" s="440"/>
      <c r="D24" s="440"/>
      <c r="E24" s="440"/>
      <c r="F24" s="457"/>
      <c r="G24" s="457"/>
      <c r="H24" s="440"/>
      <c r="I24" s="440"/>
      <c r="J24" s="440"/>
      <c r="K24" s="440"/>
      <c r="L24" s="440"/>
      <c r="M24" s="457"/>
      <c r="N24" s="458"/>
      <c r="O24" s="14" t="e">
        <f t="shared" si="0"/>
        <v>#DIV/0!</v>
      </c>
    </row>
    <row r="25" spans="1:17" s="5" customFormat="1" x14ac:dyDescent="0.25">
      <c r="A25" s="14" t="s">
        <v>342</v>
      </c>
      <c r="C25" s="440"/>
      <c r="D25" s="440"/>
      <c r="E25" s="440"/>
      <c r="F25" s="457"/>
      <c r="G25" s="457"/>
      <c r="H25" s="440"/>
      <c r="I25" s="440"/>
      <c r="J25" s="440"/>
      <c r="K25" s="440"/>
      <c r="L25" s="440"/>
      <c r="M25" s="457"/>
      <c r="N25" s="458"/>
      <c r="O25" s="14" t="e">
        <f t="shared" si="0"/>
        <v>#DIV/0!</v>
      </c>
    </row>
    <row r="26" spans="1:17" s="5" customFormat="1" x14ac:dyDescent="0.25">
      <c r="A26" s="14" t="s">
        <v>343</v>
      </c>
      <c r="C26" s="440"/>
      <c r="D26" s="440"/>
      <c r="E26" s="440"/>
      <c r="F26" s="440"/>
      <c r="G26" s="440"/>
      <c r="H26" s="440"/>
      <c r="I26" s="440"/>
      <c r="J26" s="440"/>
      <c r="K26" s="440"/>
      <c r="L26" s="440"/>
      <c r="M26" s="440"/>
      <c r="N26" s="458"/>
      <c r="O26" s="14" t="e">
        <f t="shared" si="0"/>
        <v>#DIV/0!</v>
      </c>
    </row>
    <row r="27" spans="1:17" s="5" customFormat="1" x14ac:dyDescent="0.25">
      <c r="A27" s="14" t="s">
        <v>344</v>
      </c>
      <c r="C27" s="440"/>
      <c r="D27" s="440"/>
      <c r="E27" s="440"/>
      <c r="F27" s="440"/>
      <c r="G27" s="440"/>
      <c r="H27" s="440"/>
      <c r="I27" s="440"/>
      <c r="J27" s="440"/>
      <c r="K27" s="440"/>
      <c r="L27" s="440"/>
      <c r="M27" s="440"/>
      <c r="N27" s="458"/>
      <c r="O27" s="14" t="e">
        <f t="shared" si="0"/>
        <v>#DIV/0!</v>
      </c>
    </row>
    <row r="28" spans="1:17" s="5" customFormat="1" x14ac:dyDescent="0.25">
      <c r="A28" s="246" t="s">
        <v>345</v>
      </c>
      <c r="B28" s="184"/>
      <c r="C28" s="457"/>
      <c r="D28" s="457"/>
      <c r="E28" s="460"/>
      <c r="F28" s="457"/>
      <c r="G28" s="457"/>
      <c r="H28" s="457"/>
      <c r="I28" s="457"/>
      <c r="J28" s="457"/>
      <c r="K28" s="457"/>
      <c r="L28" s="440"/>
      <c r="M28" s="457"/>
      <c r="N28" s="461"/>
      <c r="O28" s="14" t="e">
        <f t="shared" si="0"/>
        <v>#DIV/0!</v>
      </c>
      <c r="P28" s="184"/>
      <c r="Q28" s="184"/>
    </row>
    <row r="29" spans="1:17" s="5" customFormat="1" x14ac:dyDescent="0.25">
      <c r="A29" s="46" t="s">
        <v>346</v>
      </c>
      <c r="C29" s="440"/>
      <c r="D29" s="440"/>
      <c r="E29" s="440"/>
      <c r="F29" s="462"/>
      <c r="G29" s="462"/>
      <c r="H29" s="440"/>
      <c r="I29" s="440"/>
      <c r="J29" s="440"/>
      <c r="K29" s="440"/>
      <c r="L29" s="440"/>
      <c r="M29" s="462"/>
      <c r="N29" s="458"/>
      <c r="O29" s="14" t="e">
        <f t="shared" si="0"/>
        <v>#DIV/0!</v>
      </c>
    </row>
    <row r="30" spans="1:17" s="5" customFormat="1" x14ac:dyDescent="0.25">
      <c r="A30" s="14" t="s">
        <v>347</v>
      </c>
      <c r="C30" s="440"/>
      <c r="D30" s="440"/>
      <c r="E30" s="440"/>
      <c r="F30" s="457"/>
      <c r="G30" s="457"/>
      <c r="H30" s="440"/>
      <c r="I30" s="440"/>
      <c r="J30" s="440"/>
      <c r="K30" s="440"/>
      <c r="L30" s="440"/>
      <c r="M30" s="457"/>
      <c r="N30" s="458"/>
      <c r="O30" s="14" t="e">
        <f t="shared" si="0"/>
        <v>#DIV/0!</v>
      </c>
    </row>
    <row r="31" spans="1:17" s="5" customFormat="1" x14ac:dyDescent="0.25">
      <c r="A31" s="45"/>
      <c r="B31" s="173"/>
      <c r="C31" s="463"/>
      <c r="D31" s="463"/>
      <c r="E31" s="463"/>
      <c r="F31" s="464"/>
      <c r="G31" s="464"/>
      <c r="H31" s="463"/>
      <c r="I31" s="463"/>
      <c r="J31" s="463"/>
      <c r="K31" s="463"/>
      <c r="L31" s="463"/>
      <c r="M31" s="464"/>
      <c r="N31" s="465"/>
      <c r="O31" s="14" t="e">
        <f t="shared" si="0"/>
        <v>#DIV/0!</v>
      </c>
    </row>
    <row r="32" spans="1:17" s="5" customFormat="1" x14ac:dyDescent="0.25">
      <c r="F32" s="184"/>
      <c r="G32" s="184"/>
      <c r="M32" s="293"/>
      <c r="N32" s="293"/>
    </row>
    <row r="33" spans="1:19" s="5" customFormat="1" x14ac:dyDescent="0.25">
      <c r="F33" s="184"/>
      <c r="G33" s="184"/>
      <c r="M33" s="293"/>
      <c r="N33" s="293"/>
    </row>
    <row r="34" spans="1:19" s="5" customFormat="1" x14ac:dyDescent="0.25">
      <c r="F34" s="293"/>
      <c r="G34" s="293"/>
      <c r="M34" s="293"/>
      <c r="N34" s="293"/>
    </row>
    <row r="35" spans="1:19" s="5" customFormat="1" x14ac:dyDescent="0.25">
      <c r="F35" s="293"/>
      <c r="G35" s="293"/>
      <c r="M35" s="293"/>
      <c r="N35" s="293"/>
    </row>
    <row r="36" spans="1:19" s="5" customFormat="1" x14ac:dyDescent="0.25">
      <c r="F36" s="293"/>
      <c r="G36" s="293"/>
      <c r="M36" s="293"/>
      <c r="N36" s="293"/>
    </row>
    <row r="37" spans="1:19" s="5" customFormat="1" x14ac:dyDescent="0.25">
      <c r="F37" s="293"/>
      <c r="G37" s="293"/>
      <c r="M37" s="293"/>
      <c r="N37" s="293"/>
    </row>
    <row r="38" spans="1:19" s="5" customFormat="1" x14ac:dyDescent="0.25">
      <c r="A38" s="183"/>
      <c r="G38" s="294"/>
      <c r="H38" s="294"/>
      <c r="N38" s="294"/>
      <c r="O38" s="294"/>
    </row>
    <row r="39" spans="1:19" s="5" customFormat="1" x14ac:dyDescent="0.25">
      <c r="G39" s="293"/>
      <c r="H39" s="293"/>
      <c r="N39" s="293"/>
      <c r="O39" s="293"/>
    </row>
    <row r="40" spans="1:19" s="5" customFormat="1" x14ac:dyDescent="0.25">
      <c r="G40" s="293"/>
      <c r="H40" s="293"/>
      <c r="N40" s="293"/>
      <c r="O40" s="293"/>
    </row>
    <row r="41" spans="1:19" s="5" customFormat="1" x14ac:dyDescent="0.25">
      <c r="G41" s="293"/>
      <c r="H41" s="293"/>
      <c r="N41" s="293"/>
      <c r="O41" s="293"/>
    </row>
    <row r="42" spans="1:19" s="5" customFormat="1" x14ac:dyDescent="0.25">
      <c r="G42" s="293"/>
      <c r="H42" s="293"/>
      <c r="N42" s="293"/>
      <c r="O42" s="293"/>
    </row>
    <row r="43" spans="1:19" s="5" customFormat="1" x14ac:dyDescent="0.25">
      <c r="G43" s="293"/>
      <c r="H43" s="293"/>
      <c r="N43" s="293"/>
      <c r="O43" s="293"/>
    </row>
    <row r="44" spans="1:19" s="5" customFormat="1" x14ac:dyDescent="0.25"/>
    <row r="45" spans="1:19" s="5" customFormat="1" x14ac:dyDescent="0.25"/>
    <row r="46" spans="1:19" s="5" customFormat="1" x14ac:dyDescent="0.25">
      <c r="A46" s="293"/>
      <c r="B46" s="293"/>
      <c r="C46" s="293"/>
      <c r="D46" s="293"/>
      <c r="E46" s="293"/>
      <c r="F46" s="182"/>
      <c r="G46" s="293"/>
      <c r="H46" s="293"/>
      <c r="I46" s="293"/>
      <c r="J46" s="293"/>
      <c r="K46" s="293"/>
      <c r="L46" s="293"/>
      <c r="N46" s="293"/>
      <c r="O46" s="293"/>
      <c r="P46" s="293"/>
      <c r="Q46" s="293"/>
      <c r="R46" s="293"/>
      <c r="S46" s="293"/>
    </row>
    <row r="47" spans="1:19" s="5" customFormat="1" x14ac:dyDescent="0.25">
      <c r="A47" s="12"/>
      <c r="G47" s="295"/>
      <c r="H47" s="295"/>
      <c r="N47" s="295"/>
      <c r="O47" s="295"/>
    </row>
    <row r="48" spans="1:19" s="5" customFormat="1" x14ac:dyDescent="0.25">
      <c r="G48" s="293"/>
      <c r="H48" s="293"/>
      <c r="N48" s="293"/>
      <c r="O48" s="293"/>
    </row>
    <row r="49" spans="1:19" s="5" customFormat="1" x14ac:dyDescent="0.25">
      <c r="G49" s="293"/>
      <c r="H49" s="293"/>
      <c r="N49" s="293"/>
      <c r="O49" s="293"/>
    </row>
    <row r="50" spans="1:19" s="5" customFormat="1" x14ac:dyDescent="0.25">
      <c r="G50" s="293"/>
      <c r="H50" s="293"/>
      <c r="N50" s="293"/>
      <c r="O50" s="293"/>
    </row>
    <row r="51" spans="1:19" s="5" customFormat="1" x14ac:dyDescent="0.25">
      <c r="G51" s="293"/>
      <c r="H51" s="293"/>
      <c r="N51" s="293"/>
      <c r="O51" s="293"/>
    </row>
    <row r="52" spans="1:19" s="5" customFormat="1" x14ac:dyDescent="0.25">
      <c r="G52" s="293"/>
      <c r="H52" s="293"/>
      <c r="N52" s="293"/>
      <c r="O52" s="293"/>
    </row>
    <row r="53" spans="1:19" s="5" customFormat="1" x14ac:dyDescent="0.25">
      <c r="G53" s="293"/>
      <c r="H53" s="293"/>
      <c r="N53" s="293"/>
      <c r="O53" s="293"/>
    </row>
    <row r="54" spans="1:19" s="5" customFormat="1" x14ac:dyDescent="0.25">
      <c r="G54" s="293"/>
      <c r="H54" s="293"/>
      <c r="N54" s="293"/>
      <c r="O54" s="293"/>
    </row>
    <row r="55" spans="1:19" s="5" customFormat="1" x14ac:dyDescent="0.25">
      <c r="G55" s="293"/>
      <c r="H55" s="293"/>
      <c r="N55" s="293"/>
      <c r="O55" s="293"/>
    </row>
    <row r="56" spans="1:19" s="5" customFormat="1" x14ac:dyDescent="0.25">
      <c r="A56" s="183"/>
      <c r="G56" s="294"/>
      <c r="H56" s="294"/>
      <c r="N56" s="294"/>
      <c r="O56" s="294"/>
    </row>
    <row r="57" spans="1:19" s="5" customFormat="1" x14ac:dyDescent="0.25">
      <c r="G57" s="293"/>
      <c r="H57" s="293"/>
      <c r="N57" s="293"/>
      <c r="O57" s="293"/>
    </row>
    <row r="58" spans="1:19" s="5" customFormat="1" x14ac:dyDescent="0.25">
      <c r="G58" s="293"/>
      <c r="H58" s="293"/>
      <c r="N58" s="293"/>
      <c r="O58" s="293"/>
    </row>
    <row r="59" spans="1:19" s="5" customFormat="1" x14ac:dyDescent="0.25">
      <c r="G59" s="293"/>
      <c r="H59" s="293"/>
      <c r="N59" s="293"/>
      <c r="O59" s="293"/>
    </row>
    <row r="60" spans="1:19" s="5" customFormat="1" x14ac:dyDescent="0.25">
      <c r="G60" s="293"/>
      <c r="H60" s="293"/>
      <c r="N60" s="293"/>
      <c r="O60" s="293"/>
    </row>
    <row r="61" spans="1:19" s="5" customFormat="1" x14ac:dyDescent="0.25">
      <c r="G61" s="293"/>
      <c r="H61" s="293"/>
      <c r="N61" s="293"/>
      <c r="O61" s="293"/>
    </row>
    <row r="62" spans="1:19" s="5" customFormat="1" x14ac:dyDescent="0.25"/>
    <row r="63" spans="1:19" s="5" customFormat="1" x14ac:dyDescent="0.25"/>
    <row r="64" spans="1:19" s="5" customFormat="1" x14ac:dyDescent="0.25">
      <c r="A64" s="293"/>
      <c r="B64" s="293"/>
      <c r="C64" s="293"/>
      <c r="D64" s="293"/>
      <c r="E64" s="293"/>
      <c r="F64" s="182"/>
      <c r="G64" s="293"/>
      <c r="H64" s="293"/>
      <c r="I64" s="293"/>
      <c r="J64" s="293"/>
      <c r="K64" s="293"/>
      <c r="L64" s="293"/>
      <c r="N64" s="293"/>
      <c r="O64" s="293"/>
      <c r="P64" s="293"/>
      <c r="Q64" s="293"/>
      <c r="R64" s="293"/>
      <c r="S64" s="293"/>
    </row>
    <row r="65" spans="1:15" s="5" customFormat="1" x14ac:dyDescent="0.25">
      <c r="A65" s="12"/>
      <c r="G65" s="295"/>
      <c r="H65" s="295"/>
      <c r="N65" s="295"/>
      <c r="O65" s="295"/>
    </row>
    <row r="66" spans="1:15" s="5" customFormat="1" x14ac:dyDescent="0.25">
      <c r="G66" s="293"/>
      <c r="H66" s="293"/>
      <c r="N66" s="293"/>
      <c r="O66" s="293"/>
    </row>
    <row r="67" spans="1:15" s="5" customFormat="1" x14ac:dyDescent="0.25">
      <c r="G67" s="293"/>
      <c r="H67" s="293"/>
      <c r="N67" s="293"/>
      <c r="O67" s="293"/>
    </row>
    <row r="68" spans="1:15" s="5" customFormat="1" x14ac:dyDescent="0.25">
      <c r="G68" s="293"/>
      <c r="H68" s="293"/>
      <c r="N68" s="293"/>
      <c r="O68" s="293"/>
    </row>
    <row r="69" spans="1:15" s="5" customFormat="1" x14ac:dyDescent="0.25">
      <c r="G69" s="293"/>
      <c r="H69" s="293"/>
      <c r="N69" s="293"/>
      <c r="O69" s="293"/>
    </row>
    <row r="70" spans="1:15" s="5" customFormat="1" x14ac:dyDescent="0.25">
      <c r="G70" s="293"/>
      <c r="H70" s="293"/>
      <c r="N70" s="293"/>
      <c r="O70" s="293"/>
    </row>
    <row r="71" spans="1:15" s="5" customFormat="1" x14ac:dyDescent="0.25">
      <c r="G71" s="293"/>
      <c r="H71" s="293"/>
      <c r="N71" s="293"/>
      <c r="O71" s="293"/>
    </row>
    <row r="72" spans="1:15" s="5" customFormat="1" x14ac:dyDescent="0.25">
      <c r="G72" s="293"/>
      <c r="H72" s="293"/>
      <c r="N72" s="293"/>
      <c r="O72" s="293"/>
    </row>
    <row r="73" spans="1:15" s="5" customFormat="1" x14ac:dyDescent="0.25">
      <c r="G73" s="293"/>
      <c r="H73" s="293"/>
      <c r="N73" s="293"/>
      <c r="O73" s="293"/>
    </row>
    <row r="74" spans="1:15" s="5" customFormat="1" x14ac:dyDescent="0.25">
      <c r="A74" s="183"/>
      <c r="G74" s="294"/>
      <c r="H74" s="294"/>
      <c r="N74" s="294"/>
      <c r="O74" s="294"/>
    </row>
    <row r="75" spans="1:15" s="5" customFormat="1" x14ac:dyDescent="0.25">
      <c r="G75" s="293"/>
      <c r="H75" s="293"/>
      <c r="N75" s="293"/>
      <c r="O75" s="293"/>
    </row>
    <row r="76" spans="1:15" s="5" customFormat="1" x14ac:dyDescent="0.25">
      <c r="G76" s="293"/>
      <c r="H76" s="293"/>
      <c r="N76" s="293"/>
      <c r="O76" s="293"/>
    </row>
    <row r="77" spans="1:15" s="5" customFormat="1" x14ac:dyDescent="0.25">
      <c r="G77" s="293"/>
      <c r="H77" s="293"/>
      <c r="N77" s="293"/>
      <c r="O77" s="293"/>
    </row>
    <row r="78" spans="1:15" s="5" customFormat="1" x14ac:dyDescent="0.25">
      <c r="G78" s="293"/>
      <c r="H78" s="293"/>
      <c r="N78" s="293"/>
      <c r="O78" s="293"/>
    </row>
    <row r="79" spans="1:15" s="5" customFormat="1" x14ac:dyDescent="0.25">
      <c r="G79" s="293"/>
      <c r="H79" s="293"/>
      <c r="N79" s="293"/>
      <c r="O79" s="293"/>
    </row>
    <row r="80" spans="1:15" s="5" customFormat="1" x14ac:dyDescent="0.25"/>
    <row r="81" spans="1:12" s="5" customFormat="1" x14ac:dyDescent="0.25"/>
    <row r="82" spans="1:12" s="5" customFormat="1" x14ac:dyDescent="0.25">
      <c r="A82" s="184"/>
      <c r="B82" s="184"/>
      <c r="C82" s="184"/>
      <c r="D82" s="184"/>
      <c r="E82" s="184"/>
      <c r="F82" s="182"/>
      <c r="G82" s="184"/>
      <c r="H82" s="184"/>
      <c r="I82" s="184"/>
      <c r="J82" s="184"/>
      <c r="K82" s="184"/>
      <c r="L82" s="184"/>
    </row>
    <row r="83" spans="1:12" s="5" customFormat="1" x14ac:dyDescent="0.25">
      <c r="A83" s="12"/>
      <c r="G83" s="8"/>
      <c r="H83" s="8"/>
    </row>
    <row r="84" spans="1:12" s="5" customFormat="1" x14ac:dyDescent="0.25">
      <c r="G84" s="184"/>
      <c r="H84" s="184"/>
    </row>
    <row r="85" spans="1:12" s="5" customFormat="1" x14ac:dyDescent="0.25">
      <c r="G85" s="184"/>
      <c r="H85" s="184"/>
    </row>
    <row r="86" spans="1:12" s="5" customFormat="1" x14ac:dyDescent="0.25">
      <c r="G86" s="184"/>
      <c r="H86" s="184"/>
    </row>
    <row r="87" spans="1:12" s="5" customFormat="1" x14ac:dyDescent="0.25">
      <c r="G87" s="184"/>
      <c r="H87" s="184"/>
    </row>
    <row r="88" spans="1:12" s="5" customFormat="1" x14ac:dyDescent="0.25">
      <c r="G88" s="184"/>
      <c r="H88" s="184"/>
    </row>
    <row r="89" spans="1:12" s="5" customFormat="1" x14ac:dyDescent="0.25">
      <c r="G89" s="184"/>
      <c r="H89" s="184"/>
    </row>
    <row r="90" spans="1:12" s="5" customFormat="1" x14ac:dyDescent="0.25">
      <c r="G90" s="184"/>
      <c r="H90" s="184"/>
    </row>
    <row r="91" spans="1:12" s="5" customFormat="1" x14ac:dyDescent="0.25">
      <c r="G91" s="184"/>
      <c r="H91" s="184"/>
    </row>
    <row r="92" spans="1:12" s="5" customFormat="1" x14ac:dyDescent="0.25">
      <c r="A92" s="183"/>
      <c r="G92" s="185"/>
      <c r="H92" s="185"/>
    </row>
    <row r="93" spans="1:12" s="5" customFormat="1" x14ac:dyDescent="0.25">
      <c r="G93" s="184"/>
      <c r="H93" s="184"/>
    </row>
    <row r="94" spans="1:12" s="5" customFormat="1" x14ac:dyDescent="0.25">
      <c r="G94" s="184"/>
      <c r="H94" s="184"/>
    </row>
    <row r="95" spans="1:12" s="5" customFormat="1" x14ac:dyDescent="0.25">
      <c r="G95" s="184"/>
      <c r="H95" s="184"/>
    </row>
    <row r="96" spans="1:12" s="5" customFormat="1" x14ac:dyDescent="0.25">
      <c r="G96" s="184"/>
      <c r="H96" s="184"/>
    </row>
    <row r="97" spans="1:12" s="5" customFormat="1" x14ac:dyDescent="0.25">
      <c r="G97" s="184"/>
      <c r="H97" s="184"/>
    </row>
    <row r="98" spans="1:12" s="5" customFormat="1" x14ac:dyDescent="0.25"/>
    <row r="99" spans="1:12" s="5" customFormat="1" x14ac:dyDescent="0.25"/>
    <row r="100" spans="1:12" s="5" customFormat="1" x14ac:dyDescent="0.25">
      <c r="A100" s="293"/>
      <c r="B100" s="293"/>
      <c r="C100" s="293"/>
      <c r="D100" s="293"/>
      <c r="E100" s="293"/>
      <c r="F100" s="182"/>
      <c r="G100" s="293"/>
      <c r="H100" s="293"/>
      <c r="I100" s="293"/>
      <c r="J100" s="293"/>
      <c r="K100" s="293"/>
      <c r="L100" s="293"/>
    </row>
    <row r="101" spans="1:12" s="5" customFormat="1" x14ac:dyDescent="0.25">
      <c r="A101" s="12"/>
      <c r="G101" s="295"/>
      <c r="H101" s="295"/>
    </row>
    <row r="102" spans="1:12" s="5" customFormat="1" x14ac:dyDescent="0.25">
      <c r="G102" s="293"/>
      <c r="H102" s="293"/>
    </row>
    <row r="103" spans="1:12" s="5" customFormat="1" x14ac:dyDescent="0.25">
      <c r="G103" s="293"/>
      <c r="H103" s="293"/>
    </row>
    <row r="104" spans="1:12" s="5" customFormat="1" x14ac:dyDescent="0.25">
      <c r="G104" s="293"/>
      <c r="H104" s="293"/>
    </row>
    <row r="105" spans="1:12" s="5" customFormat="1" x14ac:dyDescent="0.25">
      <c r="G105" s="293"/>
      <c r="H105" s="293"/>
    </row>
    <row r="106" spans="1:12" s="5" customFormat="1" x14ac:dyDescent="0.25">
      <c r="G106" s="293"/>
      <c r="H106" s="293"/>
    </row>
    <row r="107" spans="1:12" s="5" customFormat="1" x14ac:dyDescent="0.25">
      <c r="G107" s="293"/>
      <c r="H107" s="293"/>
    </row>
    <row r="108" spans="1:12" s="5" customFormat="1" x14ac:dyDescent="0.25">
      <c r="G108" s="293"/>
      <c r="H108" s="293"/>
    </row>
    <row r="109" spans="1:12" s="5" customFormat="1" x14ac:dyDescent="0.25">
      <c r="G109" s="293"/>
      <c r="H109" s="293"/>
    </row>
    <row r="110" spans="1:12" s="5" customFormat="1" x14ac:dyDescent="0.25">
      <c r="A110" s="183"/>
      <c r="G110" s="294"/>
      <c r="H110" s="294"/>
    </row>
    <row r="111" spans="1:12" s="5" customFormat="1" x14ac:dyDescent="0.25">
      <c r="G111" s="293"/>
      <c r="H111" s="293"/>
    </row>
    <row r="112" spans="1:12" s="5" customFormat="1" x14ac:dyDescent="0.25">
      <c r="G112" s="293"/>
      <c r="H112" s="293"/>
    </row>
    <row r="113" spans="1:12" s="5" customFormat="1" x14ac:dyDescent="0.25">
      <c r="G113" s="293"/>
      <c r="H113" s="293"/>
    </row>
    <row r="114" spans="1:12" s="5" customFormat="1" x14ac:dyDescent="0.25">
      <c r="G114" s="293"/>
      <c r="H114" s="293"/>
    </row>
    <row r="115" spans="1:12" s="5" customFormat="1" x14ac:dyDescent="0.25">
      <c r="G115" s="293"/>
      <c r="H115" s="293"/>
    </row>
    <row r="116" spans="1:12" s="5" customFormat="1" x14ac:dyDescent="0.25"/>
    <row r="117" spans="1:12" s="5" customFormat="1" x14ac:dyDescent="0.25"/>
    <row r="118" spans="1:12" s="5" customFormat="1" x14ac:dyDescent="0.25">
      <c r="A118" s="293"/>
      <c r="B118" s="293"/>
      <c r="C118" s="293"/>
      <c r="D118" s="293"/>
      <c r="E118" s="293"/>
      <c r="F118" s="182"/>
      <c r="G118" s="293"/>
      <c r="H118" s="293"/>
      <c r="I118" s="293"/>
      <c r="J118" s="293"/>
      <c r="K118" s="293"/>
      <c r="L118" s="293"/>
    </row>
    <row r="119" spans="1:12" s="5" customFormat="1" x14ac:dyDescent="0.25">
      <c r="A119" s="12"/>
      <c r="G119" s="295"/>
      <c r="H119" s="295"/>
    </row>
    <row r="120" spans="1:12" s="5" customFormat="1" x14ac:dyDescent="0.25">
      <c r="G120" s="293"/>
      <c r="H120" s="293"/>
    </row>
    <row r="121" spans="1:12" s="5" customFormat="1" x14ac:dyDescent="0.25">
      <c r="G121" s="293"/>
      <c r="H121" s="293"/>
    </row>
    <row r="122" spans="1:12" s="5" customFormat="1" x14ac:dyDescent="0.25">
      <c r="G122" s="293"/>
      <c r="H122" s="293"/>
    </row>
    <row r="123" spans="1:12" s="5" customFormat="1" x14ac:dyDescent="0.25">
      <c r="G123" s="293"/>
      <c r="H123" s="293"/>
    </row>
    <row r="124" spans="1:12" s="5" customFormat="1" x14ac:dyDescent="0.25">
      <c r="G124" s="293"/>
      <c r="H124" s="293"/>
    </row>
    <row r="125" spans="1:12" s="5" customFormat="1" x14ac:dyDescent="0.25">
      <c r="G125" s="293"/>
      <c r="H125" s="293"/>
    </row>
    <row r="126" spans="1:12" s="5" customFormat="1" x14ac:dyDescent="0.25">
      <c r="G126" s="293"/>
      <c r="H126" s="293"/>
    </row>
    <row r="127" spans="1:12" s="5" customFormat="1" x14ac:dyDescent="0.25">
      <c r="G127" s="293"/>
      <c r="H127" s="293"/>
    </row>
    <row r="128" spans="1:12" s="5" customFormat="1" x14ac:dyDescent="0.25">
      <c r="A128" s="183"/>
      <c r="G128" s="294"/>
      <c r="H128" s="294"/>
    </row>
    <row r="129" spans="1:13" s="5" customFormat="1" x14ac:dyDescent="0.25">
      <c r="G129" s="293"/>
      <c r="H129" s="293"/>
    </row>
    <row r="130" spans="1:13" s="5" customFormat="1" x14ac:dyDescent="0.25">
      <c r="G130" s="293"/>
      <c r="H130" s="293"/>
    </row>
    <row r="131" spans="1:13" x14ac:dyDescent="0.25">
      <c r="A131" s="5"/>
      <c r="B131" s="5"/>
      <c r="C131" s="5"/>
      <c r="D131" s="5"/>
      <c r="E131" s="5"/>
      <c r="F131" s="5"/>
      <c r="G131" s="293"/>
      <c r="H131" s="293"/>
      <c r="I131" s="5"/>
      <c r="J131" s="5"/>
      <c r="K131" s="5"/>
      <c r="L131" s="5"/>
      <c r="M131" s="5"/>
    </row>
    <row r="132" spans="1:13" x14ac:dyDescent="0.25">
      <c r="A132" s="5"/>
      <c r="B132" s="5"/>
      <c r="C132" s="5"/>
      <c r="D132" s="5"/>
      <c r="E132" s="5"/>
      <c r="F132" s="5"/>
      <c r="G132" s="293"/>
      <c r="H132" s="293"/>
      <c r="I132" s="5"/>
      <c r="J132" s="5"/>
      <c r="K132" s="5"/>
      <c r="L132" s="5"/>
      <c r="M132" s="5"/>
    </row>
    <row r="133" spans="1:13" x14ac:dyDescent="0.25">
      <c r="A133" s="5"/>
      <c r="B133" s="5"/>
      <c r="C133" s="5"/>
      <c r="D133" s="5"/>
      <c r="E133" s="5"/>
      <c r="F133" s="5"/>
      <c r="G133" s="293"/>
      <c r="H133" s="293"/>
      <c r="I133" s="5"/>
      <c r="J133" s="5"/>
      <c r="K133" s="5"/>
      <c r="L133" s="5"/>
      <c r="M133" s="5"/>
    </row>
    <row r="134" spans="1:13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</row>
    <row r="135" spans="1:13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</row>
    <row r="136" spans="1:13" x14ac:dyDescent="0.25">
      <c r="A136" s="293"/>
      <c r="B136" s="293"/>
      <c r="C136" s="293"/>
      <c r="D136" s="293"/>
      <c r="E136" s="293"/>
      <c r="F136" s="182"/>
      <c r="G136" s="293"/>
      <c r="H136" s="293"/>
      <c r="I136" s="293"/>
      <c r="J136" s="293"/>
      <c r="K136" s="293"/>
      <c r="L136" s="293"/>
      <c r="M136" s="5"/>
    </row>
    <row r="137" spans="1:13" x14ac:dyDescent="0.25">
      <c r="A137" s="12"/>
      <c r="B137" s="5"/>
      <c r="C137" s="5"/>
      <c r="D137" s="5"/>
      <c r="E137" s="5"/>
      <c r="F137" s="5"/>
      <c r="G137" s="295"/>
      <c r="H137" s="295"/>
      <c r="I137" s="5"/>
      <c r="J137" s="5"/>
      <c r="K137" s="5"/>
      <c r="L137" s="5"/>
      <c r="M137" s="5"/>
    </row>
    <row r="138" spans="1:13" x14ac:dyDescent="0.25">
      <c r="A138" s="5"/>
      <c r="B138" s="5"/>
      <c r="C138" s="5"/>
      <c r="D138" s="5"/>
      <c r="E138" s="5"/>
      <c r="F138" s="5"/>
      <c r="G138" s="293"/>
      <c r="H138" s="293"/>
      <c r="I138" s="5"/>
      <c r="J138" s="5"/>
      <c r="K138" s="5"/>
      <c r="L138" s="5"/>
      <c r="M138" s="5"/>
    </row>
    <row r="139" spans="1:13" x14ac:dyDescent="0.25">
      <c r="A139" s="5"/>
      <c r="B139" s="5"/>
      <c r="C139" s="5"/>
      <c r="D139" s="5"/>
      <c r="E139" s="5"/>
      <c r="F139" s="5"/>
      <c r="G139" s="293"/>
      <c r="H139" s="293"/>
      <c r="I139" s="5"/>
      <c r="J139" s="5"/>
      <c r="K139" s="5"/>
      <c r="L139" s="5"/>
      <c r="M139" s="5"/>
    </row>
    <row r="140" spans="1:13" x14ac:dyDescent="0.25">
      <c r="A140" s="5"/>
      <c r="B140" s="5"/>
      <c r="C140" s="5"/>
      <c r="D140" s="5"/>
      <c r="E140" s="5"/>
      <c r="F140" s="5"/>
      <c r="G140" s="293"/>
      <c r="H140" s="293"/>
      <c r="I140" s="5"/>
      <c r="J140" s="5"/>
      <c r="K140" s="5"/>
      <c r="L140" s="5"/>
      <c r="M140" s="5"/>
    </row>
    <row r="141" spans="1:13" x14ac:dyDescent="0.25">
      <c r="A141" s="5"/>
      <c r="B141" s="5"/>
      <c r="C141" s="5"/>
      <c r="D141" s="5"/>
      <c r="E141" s="5"/>
      <c r="F141" s="5"/>
      <c r="G141" s="293"/>
      <c r="H141" s="293"/>
      <c r="I141" s="5"/>
      <c r="J141" s="5"/>
      <c r="K141" s="5"/>
      <c r="L141" s="5"/>
      <c r="M141" s="5"/>
    </row>
    <row r="142" spans="1:13" x14ac:dyDescent="0.25">
      <c r="A142" s="5"/>
      <c r="B142" s="5"/>
      <c r="C142" s="5"/>
      <c r="D142" s="5"/>
      <c r="E142" s="5"/>
      <c r="F142" s="5"/>
      <c r="G142" s="293"/>
      <c r="H142" s="293"/>
      <c r="I142" s="5"/>
      <c r="J142" s="5"/>
      <c r="K142" s="5"/>
      <c r="L142" s="5"/>
      <c r="M142" s="5"/>
    </row>
    <row r="143" spans="1:13" x14ac:dyDescent="0.25">
      <c r="A143" s="5"/>
      <c r="B143" s="5"/>
      <c r="C143" s="5"/>
      <c r="D143" s="5"/>
      <c r="E143" s="5"/>
      <c r="F143" s="5"/>
      <c r="G143" s="293"/>
      <c r="H143" s="293"/>
      <c r="I143" s="5"/>
      <c r="J143" s="5"/>
      <c r="K143" s="5"/>
      <c r="L143" s="5"/>
      <c r="M143" s="5"/>
    </row>
    <row r="144" spans="1:13" x14ac:dyDescent="0.25">
      <c r="A144" s="5"/>
      <c r="B144" s="5"/>
      <c r="C144" s="5"/>
      <c r="D144" s="5"/>
      <c r="E144" s="5"/>
      <c r="F144" s="5"/>
      <c r="G144" s="293"/>
      <c r="H144" s="293"/>
      <c r="I144" s="5"/>
      <c r="J144" s="5"/>
      <c r="K144" s="5"/>
      <c r="L144" s="5"/>
      <c r="M144" s="5"/>
    </row>
    <row r="145" spans="1:13" x14ac:dyDescent="0.25">
      <c r="A145" s="5"/>
      <c r="B145" s="5"/>
      <c r="C145" s="5"/>
      <c r="D145" s="5"/>
      <c r="E145" s="5"/>
      <c r="F145" s="5"/>
      <c r="G145" s="293"/>
      <c r="H145" s="293"/>
      <c r="I145" s="5"/>
      <c r="J145" s="5"/>
      <c r="K145" s="5"/>
      <c r="L145" s="5"/>
      <c r="M145" s="5"/>
    </row>
    <row r="146" spans="1:13" x14ac:dyDescent="0.25">
      <c r="A146" s="183"/>
      <c r="B146" s="5"/>
      <c r="C146" s="5"/>
      <c r="D146" s="5"/>
      <c r="E146" s="5"/>
      <c r="F146" s="5"/>
      <c r="G146" s="294"/>
      <c r="H146" s="294"/>
      <c r="I146" s="5"/>
      <c r="J146" s="5"/>
      <c r="K146" s="5"/>
      <c r="L146" s="5"/>
      <c r="M146" s="5"/>
    </row>
    <row r="147" spans="1:13" x14ac:dyDescent="0.25">
      <c r="A147" s="5"/>
      <c r="B147" s="5"/>
      <c r="C147" s="5"/>
      <c r="D147" s="5"/>
      <c r="E147" s="5"/>
      <c r="F147" s="5"/>
      <c r="G147" s="293"/>
      <c r="H147" s="293"/>
      <c r="I147" s="5"/>
      <c r="J147" s="5"/>
      <c r="K147" s="5"/>
      <c r="L147" s="5"/>
      <c r="M147" s="5"/>
    </row>
    <row r="148" spans="1:13" x14ac:dyDescent="0.25">
      <c r="A148" s="5"/>
      <c r="B148" s="5"/>
      <c r="C148" s="5"/>
      <c r="D148" s="5"/>
      <c r="E148" s="5"/>
      <c r="F148" s="5"/>
      <c r="G148" s="293"/>
      <c r="H148" s="293"/>
      <c r="I148" s="5"/>
      <c r="J148" s="5"/>
      <c r="K148" s="5"/>
      <c r="L148" s="5"/>
      <c r="M148" s="5"/>
    </row>
    <row r="149" spans="1:13" x14ac:dyDescent="0.25">
      <c r="A149" s="5"/>
      <c r="B149" s="5"/>
      <c r="C149" s="5"/>
      <c r="D149" s="5"/>
      <c r="E149" s="5"/>
      <c r="F149" s="5"/>
      <c r="G149" s="293"/>
      <c r="H149" s="293"/>
      <c r="I149" s="5"/>
      <c r="J149" s="5"/>
      <c r="K149" s="5"/>
      <c r="L149" s="5"/>
      <c r="M149" s="5"/>
    </row>
    <row r="150" spans="1:13" x14ac:dyDescent="0.25">
      <c r="A150" s="5"/>
      <c r="B150" s="5"/>
      <c r="C150" s="5"/>
      <c r="D150" s="5"/>
      <c r="E150" s="5"/>
      <c r="F150" s="5"/>
      <c r="G150" s="293"/>
      <c r="H150" s="293"/>
      <c r="I150" s="5"/>
      <c r="J150" s="5"/>
      <c r="K150" s="5"/>
      <c r="L150" s="5"/>
      <c r="M150" s="5"/>
    </row>
    <row r="151" spans="1:13" x14ac:dyDescent="0.25">
      <c r="A151" s="5"/>
      <c r="B151" s="5"/>
      <c r="C151" s="5"/>
      <c r="D151" s="5"/>
      <c r="E151" s="5"/>
      <c r="F151" s="5"/>
      <c r="G151" s="293"/>
      <c r="H151" s="293"/>
      <c r="I151" s="5"/>
      <c r="J151" s="5"/>
      <c r="K151" s="5"/>
      <c r="L151" s="5"/>
      <c r="M151" s="5"/>
    </row>
    <row r="152" spans="1:13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</row>
    <row r="153" spans="1:13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</row>
  </sheetData>
  <sheetProtection sheet="1" objects="1" scenarios="1"/>
  <mergeCells count="142">
    <mergeCell ref="A6:B6"/>
    <mergeCell ref="A7:B7"/>
    <mergeCell ref="A2:B4"/>
    <mergeCell ref="G40:H40"/>
    <mergeCell ref="G41:H41"/>
    <mergeCell ref="G42:H42"/>
    <mergeCell ref="F35:G35"/>
    <mergeCell ref="F36:G36"/>
    <mergeCell ref="F37:G37"/>
    <mergeCell ref="G38:H38"/>
    <mergeCell ref="G39:H39"/>
    <mergeCell ref="F34:G34"/>
    <mergeCell ref="G49:H49"/>
    <mergeCell ref="G50:H50"/>
    <mergeCell ref="G51:H51"/>
    <mergeCell ref="G52:H52"/>
    <mergeCell ref="G53:H53"/>
    <mergeCell ref="G43:H43"/>
    <mergeCell ref="A46:E46"/>
    <mergeCell ref="G46:L46"/>
    <mergeCell ref="G47:H47"/>
    <mergeCell ref="G48:H48"/>
    <mergeCell ref="G59:H59"/>
    <mergeCell ref="G60:H60"/>
    <mergeCell ref="G61:H61"/>
    <mergeCell ref="A64:E64"/>
    <mergeCell ref="G64:L64"/>
    <mergeCell ref="G54:H54"/>
    <mergeCell ref="G55:H55"/>
    <mergeCell ref="G56:H56"/>
    <mergeCell ref="G57:H57"/>
    <mergeCell ref="G58:H58"/>
    <mergeCell ref="G70:H70"/>
    <mergeCell ref="G71:H71"/>
    <mergeCell ref="G72:H72"/>
    <mergeCell ref="G73:H73"/>
    <mergeCell ref="G74:H74"/>
    <mergeCell ref="G65:H65"/>
    <mergeCell ref="G66:H66"/>
    <mergeCell ref="G67:H67"/>
    <mergeCell ref="G68:H68"/>
    <mergeCell ref="G69:H69"/>
    <mergeCell ref="G102:H102"/>
    <mergeCell ref="G103:H103"/>
    <mergeCell ref="G104:H104"/>
    <mergeCell ref="G105:H105"/>
    <mergeCell ref="G106:H106"/>
    <mergeCell ref="A100:E100"/>
    <mergeCell ref="G100:L100"/>
    <mergeCell ref="G101:H101"/>
    <mergeCell ref="G75:H75"/>
    <mergeCell ref="G76:H76"/>
    <mergeCell ref="G77:H77"/>
    <mergeCell ref="G78:H78"/>
    <mergeCell ref="G79:H79"/>
    <mergeCell ref="G122:H122"/>
    <mergeCell ref="G123:H123"/>
    <mergeCell ref="G112:H112"/>
    <mergeCell ref="G113:H113"/>
    <mergeCell ref="G114:H114"/>
    <mergeCell ref="G115:H115"/>
    <mergeCell ref="A118:E118"/>
    <mergeCell ref="G118:L118"/>
    <mergeCell ref="G107:H107"/>
    <mergeCell ref="G108:H108"/>
    <mergeCell ref="G109:H109"/>
    <mergeCell ref="G110:H110"/>
    <mergeCell ref="G111:H111"/>
    <mergeCell ref="A136:E136"/>
    <mergeCell ref="G136:L136"/>
    <mergeCell ref="G137:H137"/>
    <mergeCell ref="G138:H138"/>
    <mergeCell ref="G139:H139"/>
    <mergeCell ref="G129:H129"/>
    <mergeCell ref="G130:H130"/>
    <mergeCell ref="G131:H131"/>
    <mergeCell ref="G132:H132"/>
    <mergeCell ref="G133:H133"/>
    <mergeCell ref="M32:N32"/>
    <mergeCell ref="M33:N33"/>
    <mergeCell ref="M34:N34"/>
    <mergeCell ref="M35:N35"/>
    <mergeCell ref="G150:H150"/>
    <mergeCell ref="G151:H151"/>
    <mergeCell ref="G145:H145"/>
    <mergeCell ref="G146:H146"/>
    <mergeCell ref="G147:H147"/>
    <mergeCell ref="G148:H148"/>
    <mergeCell ref="G149:H149"/>
    <mergeCell ref="G140:H140"/>
    <mergeCell ref="G141:H141"/>
    <mergeCell ref="G142:H142"/>
    <mergeCell ref="G143:H143"/>
    <mergeCell ref="G144:H144"/>
    <mergeCell ref="G124:H124"/>
    <mergeCell ref="G125:H125"/>
    <mergeCell ref="G126:H126"/>
    <mergeCell ref="G127:H127"/>
    <mergeCell ref="G128:H128"/>
    <mergeCell ref="G119:H119"/>
    <mergeCell ref="G120:H120"/>
    <mergeCell ref="G121:H121"/>
    <mergeCell ref="N41:O41"/>
    <mergeCell ref="N42:O42"/>
    <mergeCell ref="N43:O43"/>
    <mergeCell ref="N46:S46"/>
    <mergeCell ref="N47:O47"/>
    <mergeCell ref="M36:N36"/>
    <mergeCell ref="M37:N37"/>
    <mergeCell ref="N38:O38"/>
    <mergeCell ref="N39:O39"/>
    <mergeCell ref="N40:O40"/>
    <mergeCell ref="N53:O53"/>
    <mergeCell ref="N54:O54"/>
    <mergeCell ref="N55:O55"/>
    <mergeCell ref="N56:O56"/>
    <mergeCell ref="N57:O57"/>
    <mergeCell ref="N48:O48"/>
    <mergeCell ref="N49:O49"/>
    <mergeCell ref="N50:O50"/>
    <mergeCell ref="N51:O51"/>
    <mergeCell ref="N52:O52"/>
    <mergeCell ref="N65:O65"/>
    <mergeCell ref="N66:O66"/>
    <mergeCell ref="N67:O67"/>
    <mergeCell ref="N68:O68"/>
    <mergeCell ref="N69:O69"/>
    <mergeCell ref="N58:O58"/>
    <mergeCell ref="N59:O59"/>
    <mergeCell ref="N60:O60"/>
    <mergeCell ref="N61:O61"/>
    <mergeCell ref="N64:S64"/>
    <mergeCell ref="N75:O75"/>
    <mergeCell ref="N76:O76"/>
    <mergeCell ref="N77:O77"/>
    <mergeCell ref="N78:O78"/>
    <mergeCell ref="N79:O79"/>
    <mergeCell ref="N70:O70"/>
    <mergeCell ref="N71:O71"/>
    <mergeCell ref="N72:O72"/>
    <mergeCell ref="N73:O73"/>
    <mergeCell ref="N74:O7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0</xdr:col>
                    <xdr:colOff>790575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A2:O57"/>
  <sheetViews>
    <sheetView workbookViewId="0">
      <selection activeCell="A2" sqref="A2:B4"/>
    </sheetView>
  </sheetViews>
  <sheetFormatPr defaultRowHeight="15" x14ac:dyDescent="0.25"/>
  <cols>
    <col min="1" max="1" width="5.5703125" style="346" customWidth="1"/>
    <col min="2" max="2" width="63.140625" style="346" customWidth="1"/>
    <col min="3" max="3" width="11" style="382" customWidth="1"/>
    <col min="4" max="7" width="14.7109375" style="346" customWidth="1"/>
    <col min="8" max="15" width="14.85546875" style="346" customWidth="1"/>
    <col min="16" max="16384" width="9.140625" style="346"/>
  </cols>
  <sheetData>
    <row r="2" spans="1:15" x14ac:dyDescent="0.25">
      <c r="A2" s="343" t="s">
        <v>271</v>
      </c>
      <c r="B2" s="344"/>
      <c r="C2" s="345"/>
      <c r="D2" s="345"/>
    </row>
    <row r="3" spans="1:15" x14ac:dyDescent="0.25">
      <c r="A3" s="343"/>
      <c r="B3" s="344"/>
      <c r="C3" s="345"/>
      <c r="D3" s="345"/>
    </row>
    <row r="4" spans="1:15" ht="15.75" thickBot="1" x14ac:dyDescent="0.3">
      <c r="A4" s="347"/>
      <c r="B4" s="348"/>
      <c r="C4" s="349"/>
      <c r="D4" s="349"/>
    </row>
    <row r="5" spans="1:15" s="355" customFormat="1" x14ac:dyDescent="0.25">
      <c r="A5" s="350" t="s">
        <v>3</v>
      </c>
      <c r="B5" s="351" t="s">
        <v>4</v>
      </c>
      <c r="C5" s="352" t="s">
        <v>5</v>
      </c>
      <c r="D5" s="353" t="s">
        <v>6</v>
      </c>
      <c r="E5" s="354" t="s">
        <v>7</v>
      </c>
      <c r="F5" s="354" t="s">
        <v>8</v>
      </c>
      <c r="G5" s="354" t="s">
        <v>9</v>
      </c>
      <c r="H5" s="354" t="s">
        <v>10</v>
      </c>
      <c r="I5" s="354" t="s">
        <v>57</v>
      </c>
      <c r="J5" s="354" t="s">
        <v>58</v>
      </c>
      <c r="K5" s="354" t="s">
        <v>69</v>
      </c>
      <c r="L5" s="354" t="s">
        <v>60</v>
      </c>
      <c r="M5" s="354" t="s">
        <v>61</v>
      </c>
      <c r="N5" s="354" t="s">
        <v>62</v>
      </c>
      <c r="O5" s="354" t="s">
        <v>63</v>
      </c>
    </row>
    <row r="6" spans="1:15" x14ac:dyDescent="0.25">
      <c r="A6" s="356">
        <v>1</v>
      </c>
      <c r="B6" s="357" t="s">
        <v>24</v>
      </c>
      <c r="C6" s="358" t="s">
        <v>25</v>
      </c>
      <c r="D6" s="186">
        <f>'DADOS ECONÔMICOS MENSAIS'!D13</f>
        <v>3012.7</v>
      </c>
      <c r="E6" s="359"/>
      <c r="F6" s="359"/>
      <c r="G6" s="359"/>
      <c r="H6" s="359"/>
      <c r="I6" s="359"/>
      <c r="J6" s="359"/>
      <c r="K6" s="359"/>
      <c r="L6" s="359"/>
      <c r="M6" s="359"/>
      <c r="N6" s="359"/>
      <c r="O6" s="359"/>
    </row>
    <row r="7" spans="1:15" x14ac:dyDescent="0.25">
      <c r="A7" s="356">
        <v>2</v>
      </c>
      <c r="B7" s="357" t="s">
        <v>26</v>
      </c>
      <c r="C7" s="358" t="s">
        <v>25</v>
      </c>
      <c r="D7" s="186">
        <f>'DADOS ECONÔMICOS MENSAIS'!D8</f>
        <v>1412.7</v>
      </c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59"/>
    </row>
    <row r="8" spans="1:15" x14ac:dyDescent="0.25">
      <c r="A8" s="356">
        <v>3</v>
      </c>
      <c r="B8" s="357" t="s">
        <v>383</v>
      </c>
      <c r="C8" s="358" t="s">
        <v>27</v>
      </c>
      <c r="D8" s="186">
        <f>D7/'DADOS TÉCNICOS MENSAIS'!C7</f>
        <v>0.85</v>
      </c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59"/>
    </row>
    <row r="9" spans="1:15" x14ac:dyDescent="0.25">
      <c r="A9" s="356">
        <v>4</v>
      </c>
      <c r="B9" s="357" t="s">
        <v>350</v>
      </c>
      <c r="C9" s="358" t="s">
        <v>43</v>
      </c>
      <c r="D9" s="186"/>
      <c r="E9" s="359"/>
      <c r="F9" s="359"/>
      <c r="G9" s="359"/>
      <c r="H9" s="359"/>
      <c r="I9" s="359"/>
      <c r="J9" s="359"/>
      <c r="K9" s="359"/>
      <c r="L9" s="359"/>
      <c r="M9" s="359"/>
      <c r="N9" s="359"/>
      <c r="O9" s="359"/>
    </row>
    <row r="10" spans="1:15" x14ac:dyDescent="0.25">
      <c r="A10" s="356">
        <v>5</v>
      </c>
      <c r="B10" s="357" t="s">
        <v>351</v>
      </c>
      <c r="C10" s="358" t="s">
        <v>43</v>
      </c>
      <c r="D10" s="360"/>
      <c r="E10" s="361"/>
      <c r="F10" s="361"/>
      <c r="G10" s="361"/>
      <c r="H10" s="361"/>
      <c r="I10" s="361"/>
      <c r="J10" s="361"/>
      <c r="K10" s="361"/>
      <c r="L10" s="361"/>
      <c r="M10" s="361"/>
      <c r="N10" s="361"/>
      <c r="O10" s="361"/>
    </row>
    <row r="11" spans="1:15" x14ac:dyDescent="0.25">
      <c r="A11" s="356">
        <v>6</v>
      </c>
      <c r="B11" s="357" t="s">
        <v>352</v>
      </c>
      <c r="C11" s="358" t="s">
        <v>43</v>
      </c>
      <c r="D11" s="186"/>
      <c r="E11" s="359"/>
      <c r="F11" s="359"/>
      <c r="G11" s="359"/>
      <c r="H11" s="359"/>
      <c r="I11" s="359"/>
      <c r="J11" s="359"/>
      <c r="K11" s="359"/>
      <c r="L11" s="359"/>
      <c r="M11" s="359"/>
      <c r="N11" s="359"/>
      <c r="O11" s="359"/>
    </row>
    <row r="12" spans="1:15" x14ac:dyDescent="0.25">
      <c r="A12" s="356">
        <v>7</v>
      </c>
      <c r="B12" s="357" t="s">
        <v>373</v>
      </c>
      <c r="C12" s="358" t="s">
        <v>27</v>
      </c>
      <c r="D12" s="186">
        <f>'DADOS ECONÔMICOS MENSAIS'!D84</f>
        <v>4002.7</v>
      </c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</row>
    <row r="13" spans="1:15" x14ac:dyDescent="0.25">
      <c r="A13" s="356">
        <v>8</v>
      </c>
      <c r="B13" s="357" t="s">
        <v>374</v>
      </c>
      <c r="C13" s="358" t="s">
        <v>27</v>
      </c>
      <c r="D13" s="186">
        <f>D12+'DADOS ECONÔMICOS MENSAIS'!D85+INVENTÁRIO!J15</f>
        <v>8361.3666666666668</v>
      </c>
      <c r="E13" s="359"/>
      <c r="F13" s="359"/>
      <c r="G13" s="359"/>
      <c r="H13" s="359"/>
      <c r="I13" s="359"/>
      <c r="J13" s="359"/>
      <c r="K13" s="359"/>
      <c r="L13" s="359"/>
      <c r="M13" s="359"/>
      <c r="N13" s="359"/>
      <c r="O13" s="359"/>
    </row>
    <row r="14" spans="1:15" x14ac:dyDescent="0.25">
      <c r="A14" s="356">
        <v>9</v>
      </c>
      <c r="B14" s="357" t="s">
        <v>28</v>
      </c>
      <c r="C14" s="358" t="s">
        <v>27</v>
      </c>
      <c r="D14" s="362">
        <f>D13+INVENTÁRIO!J25*INVENTÁRIO!J26</f>
        <v>14757.366666666667</v>
      </c>
      <c r="E14" s="363"/>
      <c r="F14" s="363"/>
      <c r="G14" s="363"/>
      <c r="H14" s="363"/>
      <c r="I14" s="363"/>
      <c r="J14" s="363"/>
      <c r="K14" s="363"/>
      <c r="L14" s="363"/>
      <c r="M14" s="363"/>
      <c r="N14" s="363"/>
      <c r="O14" s="363"/>
    </row>
    <row r="15" spans="1:15" x14ac:dyDescent="0.25">
      <c r="A15" s="356">
        <v>10</v>
      </c>
      <c r="B15" s="357" t="s">
        <v>372</v>
      </c>
      <c r="C15" s="358"/>
      <c r="D15" s="362">
        <f>D12/'DADOS TÉCNICOS MENSAIS'!C7</f>
        <v>2.4083634175691935</v>
      </c>
      <c r="E15" s="363"/>
      <c r="F15" s="363"/>
      <c r="G15" s="363"/>
      <c r="H15" s="363"/>
      <c r="I15" s="363"/>
      <c r="J15" s="363"/>
      <c r="K15" s="363"/>
      <c r="L15" s="363"/>
      <c r="M15" s="363"/>
      <c r="N15" s="363"/>
      <c r="O15" s="363"/>
    </row>
    <row r="16" spans="1:15" x14ac:dyDescent="0.25">
      <c r="A16" s="356"/>
      <c r="B16" s="357" t="s">
        <v>382</v>
      </c>
      <c r="C16" s="358"/>
      <c r="D16" s="362">
        <f>D13/'DADOS TÉCNICOS MENSAIS'!C7</f>
        <v>5.03090653830726</v>
      </c>
      <c r="E16" s="363"/>
      <c r="F16" s="363"/>
      <c r="G16" s="363"/>
      <c r="H16" s="363"/>
      <c r="I16" s="363"/>
      <c r="J16" s="363"/>
      <c r="K16" s="363"/>
      <c r="L16" s="363"/>
      <c r="M16" s="363"/>
      <c r="N16" s="363"/>
      <c r="O16" s="363"/>
    </row>
    <row r="17" spans="1:15" x14ac:dyDescent="0.25">
      <c r="A17" s="356"/>
      <c r="B17" s="357" t="s">
        <v>385</v>
      </c>
      <c r="C17" s="358"/>
      <c r="D17" s="362">
        <f>D14/'DADOS TÉCNICOS MENSAIS'!C7</f>
        <v>8.8792819895707975</v>
      </c>
      <c r="E17" s="363"/>
      <c r="F17" s="363"/>
      <c r="G17" s="363"/>
      <c r="H17" s="363"/>
      <c r="I17" s="363"/>
      <c r="J17" s="363"/>
      <c r="K17" s="363"/>
      <c r="L17" s="363"/>
      <c r="M17" s="363"/>
      <c r="N17" s="363"/>
      <c r="O17" s="363"/>
    </row>
    <row r="18" spans="1:15" x14ac:dyDescent="0.25">
      <c r="A18" s="356">
        <v>11</v>
      </c>
      <c r="B18" s="357" t="s">
        <v>366</v>
      </c>
      <c r="C18" s="358" t="s">
        <v>15</v>
      </c>
      <c r="D18" s="364">
        <f>D12/D8</f>
        <v>4709.0588235294117</v>
      </c>
      <c r="E18" s="365"/>
      <c r="F18" s="365"/>
      <c r="G18" s="365"/>
      <c r="H18" s="365"/>
      <c r="I18" s="365"/>
      <c r="J18" s="365"/>
      <c r="K18" s="365"/>
      <c r="L18" s="365"/>
      <c r="M18" s="365"/>
      <c r="N18" s="365"/>
      <c r="O18" s="365"/>
    </row>
    <row r="19" spans="1:15" x14ac:dyDescent="0.25">
      <c r="A19" s="356">
        <v>12</v>
      </c>
      <c r="B19" s="357" t="s">
        <v>367</v>
      </c>
      <c r="C19" s="358" t="s">
        <v>15</v>
      </c>
      <c r="D19" s="186">
        <f>D13/D8</f>
        <v>9836.9019607843147</v>
      </c>
      <c r="E19" s="359"/>
      <c r="F19" s="359"/>
      <c r="G19" s="359"/>
      <c r="H19" s="359"/>
      <c r="I19" s="359"/>
      <c r="J19" s="359"/>
      <c r="K19" s="359"/>
      <c r="L19" s="359"/>
      <c r="M19" s="359"/>
      <c r="N19" s="359"/>
      <c r="O19" s="359"/>
    </row>
    <row r="20" spans="1:15" x14ac:dyDescent="0.25">
      <c r="A20" s="356">
        <v>13</v>
      </c>
      <c r="B20" s="357" t="s">
        <v>368</v>
      </c>
      <c r="C20" s="358" t="s">
        <v>15</v>
      </c>
      <c r="D20" s="186">
        <f>D14/D8</f>
        <v>17361.607843137255</v>
      </c>
      <c r="E20" s="359"/>
      <c r="F20" s="359"/>
      <c r="G20" s="359"/>
      <c r="H20" s="359"/>
      <c r="I20" s="359"/>
      <c r="J20" s="359"/>
      <c r="K20" s="359"/>
      <c r="L20" s="359"/>
      <c r="M20" s="359"/>
      <c r="N20" s="359"/>
      <c r="O20" s="359"/>
    </row>
    <row r="21" spans="1:15" x14ac:dyDescent="0.25">
      <c r="A21" s="356">
        <v>14</v>
      </c>
      <c r="B21" s="357" t="s">
        <v>371</v>
      </c>
      <c r="C21" s="358" t="s">
        <v>15</v>
      </c>
      <c r="D21" s="186">
        <f>SUM('DADOS ECONÔMICOS MENSAIS'!D16:D17)/'INDICADORES ECONÔMICOS MENSAIS'!D7</f>
        <v>0.10617965597791462</v>
      </c>
      <c r="E21" s="359"/>
      <c r="F21" s="359"/>
      <c r="G21" s="359"/>
      <c r="H21" s="359"/>
      <c r="I21" s="359"/>
      <c r="J21" s="359"/>
      <c r="K21" s="359"/>
      <c r="L21" s="359"/>
      <c r="M21" s="359"/>
      <c r="N21" s="359"/>
      <c r="O21" s="359"/>
    </row>
    <row r="22" spans="1:15" x14ac:dyDescent="0.25">
      <c r="A22" s="356">
        <v>15</v>
      </c>
      <c r="B22" s="357" t="s">
        <v>370</v>
      </c>
      <c r="C22" s="358" t="s">
        <v>15</v>
      </c>
      <c r="D22" s="186">
        <f>SUM('DADOS ECONÔMICOS MENSAIS'!D38:D45)/D7</f>
        <v>0.5839881078785305</v>
      </c>
      <c r="E22" s="359"/>
      <c r="F22" s="359"/>
      <c r="G22" s="359"/>
      <c r="H22" s="359"/>
      <c r="I22" s="359"/>
      <c r="J22" s="359"/>
      <c r="K22" s="359"/>
      <c r="L22" s="359"/>
      <c r="M22" s="359"/>
      <c r="N22" s="359"/>
      <c r="O22" s="359"/>
    </row>
    <row r="23" spans="1:15" x14ac:dyDescent="0.25">
      <c r="A23" s="356">
        <v>16</v>
      </c>
      <c r="B23" s="357" t="s">
        <v>369</v>
      </c>
      <c r="C23" s="358" t="s">
        <v>43</v>
      </c>
      <c r="D23" s="186">
        <f>D7-D13</f>
        <v>-6948.666666666667</v>
      </c>
      <c r="E23" s="359"/>
      <c r="F23" s="359"/>
      <c r="G23" s="359"/>
      <c r="H23" s="359"/>
      <c r="I23" s="359"/>
      <c r="J23" s="359"/>
      <c r="K23" s="359"/>
      <c r="L23" s="359"/>
      <c r="M23" s="359"/>
      <c r="N23" s="359"/>
      <c r="O23" s="359"/>
    </row>
    <row r="24" spans="1:15" x14ac:dyDescent="0.25">
      <c r="A24" s="356">
        <v>17</v>
      </c>
      <c r="B24" s="357" t="s">
        <v>384</v>
      </c>
      <c r="C24" s="358" t="s">
        <v>27</v>
      </c>
      <c r="D24" s="186">
        <f>D8-D15</f>
        <v>-1.5583634175691934</v>
      </c>
      <c r="E24" s="359"/>
      <c r="F24" s="359"/>
      <c r="G24" s="359"/>
      <c r="H24" s="359"/>
      <c r="I24" s="359"/>
      <c r="J24" s="359"/>
      <c r="K24" s="359"/>
      <c r="L24" s="359"/>
      <c r="M24" s="359"/>
      <c r="N24" s="359"/>
      <c r="O24" s="359"/>
    </row>
    <row r="25" spans="1:15" x14ac:dyDescent="0.25">
      <c r="A25" s="356">
        <v>18</v>
      </c>
      <c r="B25" s="357" t="s">
        <v>29</v>
      </c>
      <c r="C25" s="358" t="s">
        <v>44</v>
      </c>
      <c r="D25" s="186">
        <f>D23/D8</f>
        <v>-8174.9019607843147</v>
      </c>
      <c r="E25" s="359"/>
      <c r="F25" s="359"/>
      <c r="G25" s="359"/>
      <c r="H25" s="359"/>
      <c r="I25" s="359"/>
      <c r="J25" s="359"/>
      <c r="K25" s="359"/>
      <c r="L25" s="359"/>
      <c r="M25" s="359"/>
      <c r="N25" s="359"/>
      <c r="O25" s="359"/>
    </row>
    <row r="26" spans="1:15" x14ac:dyDescent="0.25">
      <c r="A26" s="356">
        <v>19</v>
      </c>
      <c r="B26" s="357" t="s">
        <v>375</v>
      </c>
      <c r="C26" s="358" t="s">
        <v>45</v>
      </c>
      <c r="D26" s="186">
        <f>D23/PERFIL!B6</f>
        <v>-789.62121212121212</v>
      </c>
      <c r="E26" s="359"/>
      <c r="F26" s="359"/>
      <c r="G26" s="359"/>
      <c r="H26" s="359"/>
      <c r="I26" s="359"/>
      <c r="J26" s="359"/>
      <c r="K26" s="359"/>
      <c r="L26" s="359"/>
      <c r="M26" s="359"/>
      <c r="N26" s="359"/>
      <c r="O26" s="359"/>
    </row>
    <row r="27" spans="1:15" x14ac:dyDescent="0.25">
      <c r="A27" s="356">
        <v>20</v>
      </c>
      <c r="B27" s="357" t="s">
        <v>376</v>
      </c>
      <c r="C27" s="358" t="s">
        <v>30</v>
      </c>
      <c r="D27" s="186">
        <f>D23/'INDICADORES TÉCNICOS MENSAIS'!D11</f>
        <v>-992.66666666666674</v>
      </c>
      <c r="E27" s="359"/>
      <c r="F27" s="359"/>
      <c r="G27" s="359"/>
      <c r="H27" s="359"/>
      <c r="I27" s="359"/>
      <c r="J27" s="359"/>
      <c r="K27" s="359"/>
      <c r="L27" s="359"/>
      <c r="M27" s="359"/>
      <c r="N27" s="359"/>
      <c r="O27" s="359"/>
    </row>
    <row r="28" spans="1:15" x14ac:dyDescent="0.25">
      <c r="A28" s="356">
        <v>21</v>
      </c>
      <c r="B28" s="357" t="s">
        <v>377</v>
      </c>
      <c r="C28" s="358" t="s">
        <v>30</v>
      </c>
      <c r="D28" s="186">
        <f>D23/'INDICADORES TÉCNICOS MENSAIS'!D10</f>
        <v>-868.58333333333337</v>
      </c>
      <c r="E28" s="359"/>
      <c r="F28" s="359"/>
      <c r="G28" s="359"/>
      <c r="H28" s="359"/>
      <c r="I28" s="359"/>
      <c r="J28" s="359"/>
      <c r="K28" s="359"/>
      <c r="L28" s="359"/>
      <c r="M28" s="359"/>
      <c r="N28" s="359"/>
      <c r="O28" s="359"/>
    </row>
    <row r="29" spans="1:15" x14ac:dyDescent="0.25">
      <c r="A29" s="356">
        <v>22</v>
      </c>
      <c r="B29" s="357" t="s">
        <v>381</v>
      </c>
      <c r="C29" s="358" t="s">
        <v>43</v>
      </c>
      <c r="D29" s="186">
        <f>D7-D13</f>
        <v>-6948.666666666667</v>
      </c>
      <c r="E29" s="359"/>
      <c r="F29" s="359"/>
      <c r="G29" s="359"/>
      <c r="H29" s="359"/>
      <c r="I29" s="359"/>
      <c r="J29" s="359"/>
      <c r="K29" s="359"/>
      <c r="L29" s="359"/>
      <c r="M29" s="359"/>
      <c r="N29" s="359"/>
      <c r="O29" s="359"/>
    </row>
    <row r="30" spans="1:15" x14ac:dyDescent="0.25">
      <c r="A30" s="356">
        <v>22</v>
      </c>
      <c r="B30" s="357" t="s">
        <v>378</v>
      </c>
      <c r="C30" s="358" t="s">
        <v>27</v>
      </c>
      <c r="D30" s="186">
        <f>D8-D16</f>
        <v>-4.1809065383072603</v>
      </c>
      <c r="E30" s="359"/>
      <c r="F30" s="359"/>
      <c r="G30" s="359"/>
      <c r="H30" s="359"/>
      <c r="I30" s="359"/>
      <c r="J30" s="359"/>
      <c r="K30" s="359"/>
      <c r="L30" s="359"/>
      <c r="M30" s="359"/>
      <c r="N30" s="359"/>
      <c r="O30" s="359"/>
    </row>
    <row r="31" spans="1:15" x14ac:dyDescent="0.25">
      <c r="A31" s="356">
        <v>23</v>
      </c>
      <c r="B31" s="357" t="s">
        <v>379</v>
      </c>
      <c r="C31" s="358" t="s">
        <v>44</v>
      </c>
      <c r="D31" s="362">
        <f>D29/D8</f>
        <v>-8174.9019607843147</v>
      </c>
      <c r="E31" s="363"/>
      <c r="F31" s="363"/>
      <c r="G31" s="363"/>
      <c r="H31" s="363"/>
      <c r="I31" s="363"/>
      <c r="J31" s="363"/>
      <c r="K31" s="363"/>
      <c r="L31" s="363"/>
      <c r="M31" s="363"/>
      <c r="N31" s="363"/>
      <c r="O31" s="363"/>
    </row>
    <row r="32" spans="1:15" x14ac:dyDescent="0.25">
      <c r="A32" s="356">
        <v>24</v>
      </c>
      <c r="B32" s="357" t="s">
        <v>380</v>
      </c>
      <c r="C32" s="358" t="s">
        <v>45</v>
      </c>
      <c r="D32" s="364">
        <f>D29/PERFIL!B6</f>
        <v>-789.62121212121212</v>
      </c>
      <c r="E32" s="365"/>
      <c r="F32" s="365"/>
      <c r="G32" s="365"/>
      <c r="H32" s="365"/>
      <c r="I32" s="365"/>
      <c r="J32" s="365"/>
      <c r="K32" s="365"/>
      <c r="L32" s="365"/>
      <c r="M32" s="365"/>
      <c r="N32" s="365"/>
      <c r="O32" s="365"/>
    </row>
    <row r="33" spans="1:15" x14ac:dyDescent="0.25">
      <c r="A33" s="356">
        <v>25</v>
      </c>
      <c r="B33" s="357" t="s">
        <v>396</v>
      </c>
      <c r="C33" s="358" t="s">
        <v>43</v>
      </c>
      <c r="D33" s="186">
        <f>D7-D14</f>
        <v>-13344.666666666666</v>
      </c>
      <c r="E33" s="359"/>
      <c r="F33" s="359"/>
      <c r="G33" s="359"/>
      <c r="H33" s="359"/>
      <c r="I33" s="359"/>
      <c r="J33" s="359"/>
      <c r="K33" s="359"/>
      <c r="L33" s="359"/>
      <c r="M33" s="359"/>
      <c r="N33" s="359"/>
      <c r="O33" s="359"/>
    </row>
    <row r="34" spans="1:15" x14ac:dyDescent="0.25">
      <c r="A34" s="356">
        <v>26</v>
      </c>
      <c r="B34" s="357" t="s">
        <v>386</v>
      </c>
      <c r="C34" s="358" t="s">
        <v>27</v>
      </c>
      <c r="D34" s="186">
        <f>D8-D17</f>
        <v>-8.0292819895707979</v>
      </c>
      <c r="E34" s="359"/>
      <c r="F34" s="359"/>
      <c r="G34" s="359"/>
      <c r="H34" s="359"/>
      <c r="I34" s="359"/>
      <c r="J34" s="359"/>
      <c r="K34" s="359"/>
      <c r="L34" s="359"/>
      <c r="M34" s="359"/>
      <c r="N34" s="359"/>
      <c r="O34" s="359"/>
    </row>
    <row r="35" spans="1:15" x14ac:dyDescent="0.25">
      <c r="A35" s="356">
        <v>27</v>
      </c>
      <c r="B35" s="357" t="s">
        <v>395</v>
      </c>
      <c r="C35" s="358" t="s">
        <v>44</v>
      </c>
      <c r="D35" s="186">
        <f>D33/D8</f>
        <v>-15699.607843137255</v>
      </c>
      <c r="E35" s="359"/>
      <c r="F35" s="359"/>
      <c r="G35" s="359"/>
      <c r="H35" s="359"/>
      <c r="I35" s="359"/>
      <c r="J35" s="359"/>
      <c r="K35" s="359"/>
      <c r="L35" s="359"/>
      <c r="M35" s="359"/>
      <c r="N35" s="359"/>
      <c r="O35" s="359"/>
    </row>
    <row r="36" spans="1:15" x14ac:dyDescent="0.25">
      <c r="A36" s="356">
        <v>28</v>
      </c>
      <c r="B36" s="357" t="s">
        <v>387</v>
      </c>
      <c r="C36" s="358" t="s">
        <v>15</v>
      </c>
      <c r="D36" s="186"/>
      <c r="E36" s="359"/>
      <c r="F36" s="359"/>
      <c r="G36" s="359"/>
      <c r="H36" s="359"/>
      <c r="I36" s="359"/>
      <c r="J36" s="359"/>
      <c r="K36" s="359"/>
      <c r="L36" s="359"/>
      <c r="M36" s="359"/>
      <c r="N36" s="359"/>
      <c r="O36" s="359"/>
    </row>
    <row r="37" spans="1:15" x14ac:dyDescent="0.25">
      <c r="A37" s="356">
        <v>29</v>
      </c>
      <c r="B37" s="357" t="s">
        <v>31</v>
      </c>
      <c r="C37" s="358" t="s">
        <v>32</v>
      </c>
      <c r="D37" s="186">
        <f>SUM(INVENTÁRIO!J19:J22)</f>
        <v>53800</v>
      </c>
      <c r="E37" s="359"/>
      <c r="F37" s="359"/>
      <c r="G37" s="359"/>
      <c r="H37" s="359"/>
      <c r="I37" s="359"/>
      <c r="J37" s="359"/>
      <c r="K37" s="359"/>
      <c r="L37" s="359"/>
      <c r="M37" s="359"/>
      <c r="N37" s="359"/>
      <c r="O37" s="359"/>
    </row>
    <row r="38" spans="1:15" x14ac:dyDescent="0.25">
      <c r="A38" s="356">
        <v>30</v>
      </c>
      <c r="B38" s="357" t="s">
        <v>388</v>
      </c>
      <c r="C38" s="358" t="s">
        <v>32</v>
      </c>
      <c r="D38" s="186">
        <f>SUM(INVENTÁRIO!J18:J22)</f>
        <v>106600</v>
      </c>
      <c r="E38" s="359"/>
      <c r="F38" s="359"/>
      <c r="G38" s="359"/>
      <c r="H38" s="359"/>
      <c r="I38" s="359"/>
      <c r="J38" s="359"/>
      <c r="K38" s="359"/>
      <c r="L38" s="359"/>
      <c r="M38" s="359"/>
      <c r="N38" s="359"/>
      <c r="O38" s="359"/>
    </row>
    <row r="39" spans="1:15" x14ac:dyDescent="0.25">
      <c r="A39" s="356">
        <v>31</v>
      </c>
      <c r="B39" s="357" t="s">
        <v>33</v>
      </c>
      <c r="C39" s="358" t="s">
        <v>43</v>
      </c>
      <c r="D39" s="186">
        <f>'DADOS ECONÔMICOS MENSAIS'!D85</f>
        <v>0</v>
      </c>
      <c r="E39" s="359"/>
      <c r="F39" s="359"/>
      <c r="G39" s="359"/>
      <c r="H39" s="359"/>
      <c r="I39" s="359"/>
      <c r="J39" s="359"/>
      <c r="K39" s="359"/>
      <c r="L39" s="359"/>
      <c r="M39" s="359"/>
      <c r="N39" s="359"/>
      <c r="O39" s="359"/>
    </row>
    <row r="40" spans="1:15" x14ac:dyDescent="0.25">
      <c r="A40" s="356">
        <v>32</v>
      </c>
      <c r="B40" s="357" t="s">
        <v>34</v>
      </c>
      <c r="C40" s="358" t="s">
        <v>35</v>
      </c>
      <c r="D40" s="186"/>
      <c r="E40" s="359"/>
      <c r="F40" s="359"/>
      <c r="G40" s="359"/>
      <c r="H40" s="359"/>
      <c r="I40" s="359"/>
      <c r="J40" s="359"/>
      <c r="K40" s="359"/>
      <c r="L40" s="359"/>
      <c r="M40" s="359"/>
      <c r="N40" s="359"/>
      <c r="O40" s="359"/>
    </row>
    <row r="41" spans="1:15" x14ac:dyDescent="0.25">
      <c r="A41" s="356">
        <v>33</v>
      </c>
      <c r="B41" s="357" t="s">
        <v>36</v>
      </c>
      <c r="C41" s="358" t="s">
        <v>35</v>
      </c>
      <c r="D41" s="186"/>
      <c r="E41" s="359"/>
      <c r="F41" s="359"/>
      <c r="G41" s="359"/>
      <c r="H41" s="359"/>
      <c r="I41" s="359"/>
      <c r="J41" s="359"/>
      <c r="K41" s="359"/>
      <c r="L41" s="359"/>
      <c r="M41" s="359"/>
      <c r="N41" s="359"/>
      <c r="O41" s="359"/>
    </row>
    <row r="42" spans="1:15" x14ac:dyDescent="0.25">
      <c r="A42" s="356">
        <v>34</v>
      </c>
      <c r="B42" s="357" t="s">
        <v>37</v>
      </c>
      <c r="C42" s="358" t="s">
        <v>38</v>
      </c>
      <c r="D42" s="186">
        <f>D33/D7*100</f>
        <v>-944.62141053774099</v>
      </c>
      <c r="E42" s="359"/>
      <c r="F42" s="359"/>
      <c r="G42" s="359"/>
      <c r="H42" s="359"/>
      <c r="I42" s="359"/>
      <c r="J42" s="359"/>
      <c r="K42" s="359"/>
      <c r="L42" s="359"/>
      <c r="M42" s="359"/>
      <c r="N42" s="359"/>
      <c r="O42" s="359"/>
    </row>
    <row r="43" spans="1:15" x14ac:dyDescent="0.25">
      <c r="A43" s="356">
        <v>35</v>
      </c>
      <c r="B43" s="357" t="s">
        <v>39</v>
      </c>
      <c r="C43" s="358" t="s">
        <v>43</v>
      </c>
      <c r="D43" s="186"/>
      <c r="E43" s="359"/>
      <c r="F43" s="359"/>
      <c r="G43" s="359"/>
      <c r="H43" s="359"/>
      <c r="I43" s="359"/>
      <c r="J43" s="359"/>
      <c r="K43" s="359"/>
      <c r="L43" s="359"/>
      <c r="M43" s="359"/>
      <c r="N43" s="359"/>
      <c r="O43" s="359"/>
    </row>
    <row r="44" spans="1:15" x14ac:dyDescent="0.25">
      <c r="A44" s="356">
        <v>36</v>
      </c>
      <c r="B44" s="357" t="s">
        <v>40</v>
      </c>
      <c r="C44" s="366" t="s">
        <v>11</v>
      </c>
      <c r="D44" s="186"/>
      <c r="E44" s="359"/>
      <c r="F44" s="359"/>
      <c r="G44" s="359"/>
      <c r="H44" s="359"/>
      <c r="I44" s="359"/>
      <c r="J44" s="359"/>
      <c r="K44" s="359"/>
      <c r="L44" s="359"/>
      <c r="M44" s="359"/>
      <c r="N44" s="359"/>
      <c r="O44" s="359"/>
    </row>
    <row r="45" spans="1:15" x14ac:dyDescent="0.25">
      <c r="A45" s="356">
        <v>37</v>
      </c>
      <c r="B45" s="367" t="s">
        <v>41</v>
      </c>
      <c r="C45" s="366" t="s">
        <v>11</v>
      </c>
      <c r="D45" s="186"/>
      <c r="E45" s="359"/>
      <c r="F45" s="359"/>
      <c r="G45" s="359"/>
      <c r="H45" s="359"/>
      <c r="I45" s="359"/>
      <c r="J45" s="359"/>
      <c r="K45" s="359"/>
      <c r="L45" s="359"/>
      <c r="M45" s="359"/>
      <c r="N45" s="359"/>
      <c r="O45" s="359"/>
    </row>
    <row r="46" spans="1:15" x14ac:dyDescent="0.25">
      <c r="A46" s="356">
        <v>38</v>
      </c>
      <c r="B46" s="368" t="s">
        <v>42</v>
      </c>
      <c r="C46" s="369" t="s">
        <v>27</v>
      </c>
      <c r="D46" s="186"/>
      <c r="E46" s="359"/>
      <c r="F46" s="359"/>
      <c r="G46" s="359"/>
      <c r="H46" s="359"/>
      <c r="I46" s="359"/>
      <c r="J46" s="359"/>
      <c r="K46" s="359"/>
      <c r="L46" s="359"/>
      <c r="M46" s="359"/>
      <c r="N46" s="359"/>
      <c r="O46" s="359"/>
    </row>
    <row r="47" spans="1:15" x14ac:dyDescent="0.25">
      <c r="A47" s="356">
        <v>39</v>
      </c>
      <c r="B47" s="357"/>
      <c r="C47" s="358"/>
      <c r="D47" s="186"/>
      <c r="E47" s="359"/>
      <c r="F47" s="359"/>
      <c r="G47" s="359"/>
      <c r="H47" s="359"/>
      <c r="I47" s="359"/>
      <c r="J47" s="359"/>
      <c r="K47" s="359"/>
      <c r="L47" s="359"/>
      <c r="M47" s="359"/>
      <c r="N47" s="359"/>
      <c r="O47" s="359"/>
    </row>
    <row r="48" spans="1:15" x14ac:dyDescent="0.25">
      <c r="A48" s="356">
        <v>40</v>
      </c>
      <c r="B48" s="357"/>
      <c r="C48" s="358"/>
      <c r="D48" s="186"/>
      <c r="E48" s="359"/>
      <c r="F48" s="359"/>
      <c r="G48" s="359"/>
      <c r="H48" s="359"/>
      <c r="I48" s="359"/>
      <c r="J48" s="359"/>
      <c r="K48" s="359"/>
      <c r="L48" s="359"/>
      <c r="M48" s="359"/>
      <c r="N48" s="359"/>
      <c r="O48" s="359"/>
    </row>
    <row r="49" spans="1:15" x14ac:dyDescent="0.25">
      <c r="A49" s="356">
        <v>41</v>
      </c>
      <c r="B49" s="357"/>
      <c r="C49" s="358"/>
      <c r="D49" s="186"/>
      <c r="E49" s="359"/>
      <c r="F49" s="359"/>
      <c r="G49" s="359"/>
      <c r="H49" s="359"/>
      <c r="I49" s="359"/>
      <c r="J49" s="359"/>
      <c r="K49" s="359"/>
      <c r="L49" s="359"/>
      <c r="M49" s="359"/>
      <c r="N49" s="359"/>
      <c r="O49" s="359"/>
    </row>
    <row r="50" spans="1:15" x14ac:dyDescent="0.25">
      <c r="A50" s="356">
        <v>42</v>
      </c>
      <c r="B50" s="357"/>
      <c r="C50" s="358"/>
      <c r="D50" s="186"/>
      <c r="E50" s="359"/>
      <c r="F50" s="359"/>
      <c r="G50" s="359"/>
      <c r="H50" s="359"/>
      <c r="I50" s="359"/>
      <c r="J50" s="359"/>
      <c r="K50" s="359"/>
      <c r="L50" s="359"/>
      <c r="M50" s="359"/>
      <c r="N50" s="359"/>
      <c r="O50" s="359"/>
    </row>
    <row r="51" spans="1:15" x14ac:dyDescent="0.25">
      <c r="A51" s="356">
        <v>43</v>
      </c>
      <c r="B51" s="357"/>
      <c r="C51" s="358"/>
      <c r="D51" s="186"/>
      <c r="E51" s="359"/>
      <c r="F51" s="359"/>
      <c r="G51" s="359"/>
      <c r="H51" s="359"/>
      <c r="I51" s="359"/>
      <c r="J51" s="359"/>
      <c r="K51" s="359"/>
      <c r="L51" s="359"/>
      <c r="M51" s="359"/>
      <c r="N51" s="359"/>
      <c r="O51" s="359"/>
    </row>
    <row r="52" spans="1:15" x14ac:dyDescent="0.25">
      <c r="A52" s="356">
        <v>44</v>
      </c>
      <c r="B52" s="357"/>
      <c r="C52" s="358"/>
      <c r="D52" s="370"/>
      <c r="E52" s="371"/>
      <c r="F52" s="371"/>
      <c r="G52" s="371"/>
      <c r="H52" s="371"/>
      <c r="I52" s="371"/>
      <c r="J52" s="371"/>
      <c r="K52" s="371"/>
      <c r="L52" s="371"/>
      <c r="M52" s="371"/>
      <c r="N52" s="371"/>
      <c r="O52" s="371"/>
    </row>
    <row r="53" spans="1:15" x14ac:dyDescent="0.25">
      <c r="A53" s="356">
        <v>45</v>
      </c>
      <c r="B53" s="357"/>
      <c r="C53" s="358"/>
      <c r="D53" s="370"/>
      <c r="E53" s="371"/>
      <c r="F53" s="371"/>
      <c r="G53" s="371"/>
      <c r="H53" s="371"/>
      <c r="I53" s="371"/>
      <c r="J53" s="371"/>
      <c r="K53" s="371"/>
      <c r="L53" s="371"/>
      <c r="M53" s="371"/>
      <c r="N53" s="371"/>
      <c r="O53" s="371"/>
    </row>
    <row r="54" spans="1:15" x14ac:dyDescent="0.25">
      <c r="A54" s="356">
        <v>46</v>
      </c>
      <c r="B54" s="357"/>
      <c r="C54" s="358"/>
      <c r="D54" s="372"/>
      <c r="E54" s="373"/>
      <c r="F54" s="373"/>
      <c r="G54" s="373"/>
      <c r="H54" s="373"/>
      <c r="I54" s="373"/>
      <c r="J54" s="373"/>
      <c r="K54" s="373"/>
      <c r="L54" s="373"/>
      <c r="M54" s="373"/>
      <c r="N54" s="373"/>
      <c r="O54" s="373"/>
    </row>
    <row r="55" spans="1:15" x14ac:dyDescent="0.25">
      <c r="A55" s="356">
        <v>47</v>
      </c>
      <c r="B55" s="357"/>
      <c r="C55" s="358"/>
      <c r="D55" s="372"/>
      <c r="E55" s="373"/>
      <c r="F55" s="373"/>
      <c r="G55" s="373"/>
      <c r="H55" s="373"/>
      <c r="I55" s="373"/>
      <c r="J55" s="373"/>
      <c r="K55" s="373"/>
      <c r="L55" s="373"/>
      <c r="M55" s="373"/>
      <c r="N55" s="373"/>
      <c r="O55" s="373"/>
    </row>
    <row r="56" spans="1:15" ht="15.75" thickBot="1" x14ac:dyDescent="0.3">
      <c r="A56" s="356">
        <v>48</v>
      </c>
      <c r="B56" s="374"/>
      <c r="C56" s="375"/>
      <c r="D56" s="376"/>
      <c r="E56" s="377"/>
      <c r="F56" s="377"/>
      <c r="G56" s="377"/>
      <c r="H56" s="377"/>
      <c r="I56" s="377"/>
      <c r="J56" s="377"/>
      <c r="K56" s="377"/>
      <c r="L56" s="377"/>
      <c r="M56" s="377"/>
      <c r="N56" s="377"/>
      <c r="O56" s="377"/>
    </row>
    <row r="57" spans="1:15" x14ac:dyDescent="0.25">
      <c r="A57" s="378"/>
      <c r="B57" s="379"/>
      <c r="C57" s="380"/>
      <c r="D57" s="381"/>
    </row>
  </sheetData>
  <sheetProtection sheet="1" objects="1" scenarios="1"/>
  <mergeCells count="1">
    <mergeCell ref="A2:B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1</xdr:col>
                    <xdr:colOff>428625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1:O65"/>
  <sheetViews>
    <sheetView workbookViewId="0">
      <selection activeCell="D25" sqref="D25"/>
    </sheetView>
  </sheetViews>
  <sheetFormatPr defaultRowHeight="15" x14ac:dyDescent="0.25"/>
  <cols>
    <col min="1" max="1" width="5.5703125" style="346" customWidth="1"/>
    <col min="2" max="2" width="46.85546875" style="346" bestFit="1" customWidth="1"/>
    <col min="3" max="3" width="11" style="382" customWidth="1"/>
    <col min="4" max="7" width="14.7109375" style="346" customWidth="1"/>
    <col min="8" max="15" width="14.85546875" style="346" customWidth="1"/>
    <col min="16" max="16384" width="9.140625" style="346"/>
  </cols>
  <sheetData>
    <row r="1" spans="1:15" x14ac:dyDescent="0.25">
      <c r="A1" s="383"/>
      <c r="B1" s="345"/>
      <c r="C1" s="345"/>
      <c r="D1" s="345"/>
    </row>
    <row r="2" spans="1:15" ht="15" customHeight="1" x14ac:dyDescent="0.25">
      <c r="A2" s="384" t="s">
        <v>270</v>
      </c>
      <c r="B2" s="385"/>
      <c r="C2" s="386"/>
      <c r="D2" s="386"/>
    </row>
    <row r="3" spans="1:15" ht="18.75" customHeight="1" x14ac:dyDescent="0.25">
      <c r="A3" s="384"/>
      <c r="B3" s="385"/>
      <c r="C3" s="386"/>
      <c r="D3" s="386"/>
    </row>
    <row r="4" spans="1:15" ht="15.75" customHeight="1" thickBot="1" x14ac:dyDescent="0.3">
      <c r="A4" s="387"/>
      <c r="B4" s="388"/>
      <c r="C4" s="389"/>
      <c r="D4" s="389"/>
    </row>
    <row r="5" spans="1:15" s="355" customFormat="1" x14ac:dyDescent="0.25">
      <c r="A5" s="350" t="s">
        <v>3</v>
      </c>
      <c r="B5" s="351" t="s">
        <v>4</v>
      </c>
      <c r="C5" s="390" t="s">
        <v>5</v>
      </c>
      <c r="D5" s="353" t="s">
        <v>6</v>
      </c>
      <c r="E5" s="354" t="s">
        <v>7</v>
      </c>
      <c r="F5" s="354" t="s">
        <v>8</v>
      </c>
      <c r="G5" s="354" t="s">
        <v>9</v>
      </c>
      <c r="H5" s="354" t="s">
        <v>10</v>
      </c>
      <c r="I5" s="354" t="s">
        <v>57</v>
      </c>
      <c r="J5" s="354" t="s">
        <v>58</v>
      </c>
      <c r="K5" s="354" t="s">
        <v>69</v>
      </c>
      <c r="L5" s="354" t="s">
        <v>60</v>
      </c>
      <c r="M5" s="354" t="s">
        <v>61</v>
      </c>
      <c r="N5" s="354" t="s">
        <v>62</v>
      </c>
      <c r="O5" s="354" t="s">
        <v>63</v>
      </c>
    </row>
    <row r="6" spans="1:15" s="355" customFormat="1" x14ac:dyDescent="0.25">
      <c r="A6" s="391"/>
      <c r="B6" s="392" t="s">
        <v>146</v>
      </c>
      <c r="C6" s="390"/>
      <c r="D6" s="393"/>
      <c r="E6" s="394"/>
      <c r="F6" s="394"/>
      <c r="G6" s="394"/>
      <c r="H6" s="394"/>
      <c r="I6" s="394"/>
      <c r="J6" s="394"/>
      <c r="K6" s="394"/>
      <c r="L6" s="394"/>
      <c r="M6" s="394"/>
      <c r="N6" s="394"/>
      <c r="O6" s="394"/>
    </row>
    <row r="7" spans="1:15" x14ac:dyDescent="0.25">
      <c r="A7" s="356">
        <v>1</v>
      </c>
      <c r="B7" s="357" t="s">
        <v>274</v>
      </c>
      <c r="C7" s="358" t="s">
        <v>11</v>
      </c>
      <c r="D7" s="186">
        <f>'DADOS TÉCNICOS MENSAIS'!C7</f>
        <v>1662</v>
      </c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59"/>
    </row>
    <row r="8" spans="1:15" x14ac:dyDescent="0.25">
      <c r="A8" s="356">
        <v>2</v>
      </c>
      <c r="B8" s="357" t="s">
        <v>12</v>
      </c>
      <c r="C8" s="358" t="s">
        <v>13</v>
      </c>
      <c r="D8" s="186">
        <f>PERFIL!B6</f>
        <v>8.8000000000000007</v>
      </c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59"/>
    </row>
    <row r="9" spans="1:15" x14ac:dyDescent="0.25">
      <c r="A9" s="356"/>
      <c r="B9" s="357" t="s">
        <v>392</v>
      </c>
      <c r="C9" s="358"/>
      <c r="D9" s="186">
        <f>SUM('DADOS TÉCNICOS MENSAIS'!C11:C16)</f>
        <v>19</v>
      </c>
      <c r="E9" s="359"/>
      <c r="F9" s="359"/>
      <c r="G9" s="359"/>
      <c r="H9" s="359"/>
      <c r="I9" s="359"/>
      <c r="J9" s="359"/>
      <c r="K9" s="359"/>
      <c r="L9" s="359"/>
      <c r="M9" s="359"/>
      <c r="N9" s="359"/>
      <c r="O9" s="359"/>
    </row>
    <row r="10" spans="1:15" x14ac:dyDescent="0.25">
      <c r="A10" s="356">
        <v>3</v>
      </c>
      <c r="B10" s="357" t="s">
        <v>159</v>
      </c>
      <c r="C10" s="358" t="s">
        <v>14</v>
      </c>
      <c r="D10" s="186">
        <f>SUM('DADOS TÉCNICOS MENSAIS'!C11:C12)</f>
        <v>8</v>
      </c>
      <c r="E10" s="359"/>
      <c r="F10" s="359"/>
      <c r="G10" s="359"/>
      <c r="H10" s="359"/>
      <c r="I10" s="359"/>
      <c r="J10" s="359"/>
      <c r="K10" s="359"/>
      <c r="L10" s="359"/>
      <c r="M10" s="359"/>
      <c r="N10" s="359"/>
      <c r="O10" s="359"/>
    </row>
    <row r="11" spans="1:15" x14ac:dyDescent="0.25">
      <c r="A11" s="356">
        <v>4</v>
      </c>
      <c r="B11" s="357" t="s">
        <v>160</v>
      </c>
      <c r="C11" s="358" t="s">
        <v>14</v>
      </c>
      <c r="D11" s="186">
        <f>'DADOS TÉCNICOS MENSAIS'!C11</f>
        <v>7</v>
      </c>
      <c r="E11" s="359"/>
      <c r="F11" s="359"/>
      <c r="G11" s="359"/>
      <c r="H11" s="359"/>
      <c r="I11" s="359"/>
      <c r="J11" s="359"/>
      <c r="K11" s="359"/>
      <c r="L11" s="359"/>
      <c r="M11" s="359"/>
      <c r="N11" s="359"/>
      <c r="O11" s="359"/>
    </row>
    <row r="12" spans="1:15" x14ac:dyDescent="0.25">
      <c r="A12" s="356">
        <v>5</v>
      </c>
      <c r="B12" s="357" t="s">
        <v>153</v>
      </c>
      <c r="C12" s="358" t="s">
        <v>14</v>
      </c>
      <c r="D12" s="186">
        <f>'DADOS TÉCNICOS MENSAIS'!C12</f>
        <v>1</v>
      </c>
      <c r="E12" s="359"/>
      <c r="F12" s="359"/>
      <c r="G12" s="359"/>
      <c r="H12" s="359"/>
      <c r="I12" s="359"/>
      <c r="J12" s="359"/>
      <c r="K12" s="359"/>
      <c r="L12" s="359"/>
      <c r="M12" s="359"/>
      <c r="N12" s="359"/>
      <c r="O12" s="359"/>
    </row>
    <row r="13" spans="1:15" x14ac:dyDescent="0.25">
      <c r="A13" s="356">
        <v>6</v>
      </c>
      <c r="B13" s="357" t="s">
        <v>297</v>
      </c>
      <c r="C13" s="358" t="s">
        <v>14</v>
      </c>
      <c r="D13" s="186">
        <f>'DADOS TÉCNICOS MENSAIS'!C13</f>
        <v>4</v>
      </c>
      <c r="E13" s="359"/>
      <c r="F13" s="359"/>
      <c r="G13" s="359"/>
      <c r="H13" s="359"/>
      <c r="I13" s="359"/>
      <c r="J13" s="359"/>
      <c r="K13" s="359"/>
      <c r="L13" s="359"/>
      <c r="M13" s="359"/>
      <c r="N13" s="359"/>
      <c r="O13" s="359"/>
    </row>
    <row r="14" spans="1:15" x14ac:dyDescent="0.25">
      <c r="A14" s="356">
        <v>7</v>
      </c>
      <c r="B14" s="357" t="s">
        <v>389</v>
      </c>
      <c r="C14" s="358" t="s">
        <v>14</v>
      </c>
      <c r="D14" s="186">
        <f>'DADOS TÉCNICOS MENSAIS'!C14</f>
        <v>3</v>
      </c>
      <c r="E14" s="359"/>
      <c r="F14" s="359"/>
      <c r="G14" s="359"/>
      <c r="H14" s="359"/>
      <c r="I14" s="359"/>
      <c r="J14" s="359"/>
      <c r="K14" s="359"/>
      <c r="L14" s="359"/>
      <c r="M14" s="359"/>
      <c r="N14" s="359"/>
      <c r="O14" s="359"/>
    </row>
    <row r="15" spans="1:15" x14ac:dyDescent="0.25">
      <c r="A15" s="356">
        <v>8</v>
      </c>
      <c r="B15" s="357" t="s">
        <v>390</v>
      </c>
      <c r="C15" s="358" t="s">
        <v>14</v>
      </c>
      <c r="D15" s="186">
        <f>'DADOS TÉCNICOS MENSAIS'!C15</f>
        <v>4</v>
      </c>
      <c r="E15" s="359"/>
      <c r="F15" s="359"/>
      <c r="G15" s="359"/>
      <c r="H15" s="359"/>
      <c r="I15" s="359"/>
      <c r="J15" s="359"/>
      <c r="K15" s="359"/>
      <c r="L15" s="359"/>
      <c r="M15" s="359"/>
      <c r="N15" s="359"/>
      <c r="O15" s="359"/>
    </row>
    <row r="16" spans="1:15" x14ac:dyDescent="0.25">
      <c r="A16" s="356">
        <v>10</v>
      </c>
      <c r="B16" s="357" t="s">
        <v>154</v>
      </c>
      <c r="C16" s="358" t="s">
        <v>14</v>
      </c>
      <c r="D16" s="186">
        <f>'DADOS TÉCNICOS MENSAIS'!C16</f>
        <v>0</v>
      </c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359"/>
    </row>
    <row r="17" spans="1:15" x14ac:dyDescent="0.25">
      <c r="A17" s="356">
        <v>11</v>
      </c>
      <c r="B17" s="395" t="s">
        <v>71</v>
      </c>
      <c r="C17" s="358" t="s">
        <v>14</v>
      </c>
      <c r="D17" s="186">
        <f>'DADOS TÉCNICOS MENSAIS'!C17</f>
        <v>1</v>
      </c>
      <c r="E17" s="359"/>
      <c r="F17" s="359"/>
      <c r="G17" s="359"/>
      <c r="H17" s="359"/>
      <c r="I17" s="359"/>
      <c r="J17" s="359"/>
      <c r="K17" s="359"/>
      <c r="L17" s="359"/>
      <c r="M17" s="359"/>
      <c r="N17" s="359"/>
      <c r="O17" s="359"/>
    </row>
    <row r="18" spans="1:15" x14ac:dyDescent="0.25">
      <c r="A18" s="356">
        <v>14</v>
      </c>
      <c r="B18" s="357" t="s">
        <v>156</v>
      </c>
      <c r="C18" s="358" t="s">
        <v>14</v>
      </c>
      <c r="D18" s="186"/>
      <c r="E18" s="359"/>
      <c r="F18" s="359"/>
      <c r="G18" s="359"/>
      <c r="H18" s="359"/>
      <c r="I18" s="359"/>
      <c r="J18" s="359"/>
      <c r="K18" s="359"/>
      <c r="L18" s="359"/>
      <c r="M18" s="359"/>
      <c r="N18" s="359"/>
      <c r="O18" s="359"/>
    </row>
    <row r="19" spans="1:15" x14ac:dyDescent="0.25">
      <c r="A19" s="356">
        <v>15</v>
      </c>
      <c r="B19" s="357" t="s">
        <v>157</v>
      </c>
      <c r="C19" s="358" t="s">
        <v>14</v>
      </c>
      <c r="D19" s="186"/>
      <c r="E19" s="359"/>
      <c r="F19" s="359"/>
      <c r="G19" s="359"/>
      <c r="H19" s="359"/>
      <c r="I19" s="359"/>
      <c r="J19" s="359"/>
      <c r="K19" s="359"/>
      <c r="L19" s="359"/>
      <c r="M19" s="359"/>
      <c r="N19" s="359"/>
      <c r="O19" s="359"/>
    </row>
    <row r="20" spans="1:15" x14ac:dyDescent="0.25">
      <c r="A20" s="356">
        <v>16</v>
      </c>
      <c r="B20" s="357" t="s">
        <v>158</v>
      </c>
      <c r="C20" s="358" t="s">
        <v>14</v>
      </c>
      <c r="D20" s="186"/>
      <c r="E20" s="359"/>
      <c r="F20" s="359"/>
      <c r="G20" s="359"/>
      <c r="H20" s="359"/>
      <c r="I20" s="359"/>
      <c r="J20" s="359"/>
      <c r="K20" s="359"/>
      <c r="L20" s="359"/>
      <c r="M20" s="359"/>
      <c r="N20" s="359"/>
      <c r="O20" s="359"/>
    </row>
    <row r="21" spans="1:15" x14ac:dyDescent="0.25">
      <c r="A21" s="356">
        <v>17</v>
      </c>
      <c r="B21" s="357" t="s">
        <v>391</v>
      </c>
      <c r="C21" s="358" t="s">
        <v>15</v>
      </c>
      <c r="D21" s="360">
        <f>D11/D10</f>
        <v>0.875</v>
      </c>
      <c r="E21" s="361"/>
      <c r="F21" s="361"/>
      <c r="G21" s="361"/>
      <c r="H21" s="361"/>
      <c r="I21" s="361"/>
      <c r="J21" s="361"/>
      <c r="K21" s="361"/>
      <c r="L21" s="361"/>
      <c r="M21" s="361"/>
      <c r="N21" s="361"/>
      <c r="O21" s="361"/>
    </row>
    <row r="22" spans="1:15" x14ac:dyDescent="0.25">
      <c r="A22" s="356">
        <v>18</v>
      </c>
      <c r="B22" s="357" t="s">
        <v>16</v>
      </c>
      <c r="C22" s="358" t="s">
        <v>15</v>
      </c>
      <c r="D22" s="186">
        <f>D11/D9</f>
        <v>0.36842105263157893</v>
      </c>
      <c r="E22" s="359"/>
      <c r="F22" s="359"/>
      <c r="G22" s="359"/>
      <c r="H22" s="359"/>
      <c r="I22" s="359"/>
      <c r="J22" s="359"/>
      <c r="K22" s="359"/>
      <c r="L22" s="359"/>
      <c r="M22" s="359"/>
      <c r="N22" s="359"/>
      <c r="O22" s="359"/>
    </row>
    <row r="23" spans="1:15" x14ac:dyDescent="0.25">
      <c r="A23" s="356">
        <v>19</v>
      </c>
      <c r="B23" s="357" t="s">
        <v>17</v>
      </c>
      <c r="C23" s="358" t="s">
        <v>18</v>
      </c>
      <c r="D23" s="186">
        <f>D11/D8</f>
        <v>0.79545454545454541</v>
      </c>
      <c r="E23" s="359"/>
      <c r="F23" s="359"/>
      <c r="G23" s="359"/>
      <c r="H23" s="359"/>
      <c r="I23" s="359"/>
      <c r="J23" s="359"/>
      <c r="K23" s="359"/>
      <c r="L23" s="359"/>
      <c r="M23" s="359"/>
      <c r="N23" s="359"/>
      <c r="O23" s="359"/>
    </row>
    <row r="24" spans="1:15" x14ac:dyDescent="0.25">
      <c r="A24" s="356">
        <v>20</v>
      </c>
      <c r="B24" s="357" t="s">
        <v>19</v>
      </c>
      <c r="C24" s="358" t="s">
        <v>11</v>
      </c>
      <c r="D24" s="186">
        <f>D7/D11</f>
        <v>237.42857142857142</v>
      </c>
      <c r="E24" s="359"/>
      <c r="F24" s="359"/>
      <c r="G24" s="359"/>
      <c r="H24" s="359"/>
      <c r="I24" s="359"/>
      <c r="J24" s="359"/>
      <c r="K24" s="359"/>
      <c r="L24" s="359"/>
      <c r="M24" s="359"/>
      <c r="N24" s="359"/>
      <c r="O24" s="359"/>
    </row>
    <row r="25" spans="1:15" x14ac:dyDescent="0.25">
      <c r="A25" s="356">
        <v>21</v>
      </c>
      <c r="B25" s="357" t="s">
        <v>20</v>
      </c>
      <c r="C25" s="358" t="s">
        <v>21</v>
      </c>
      <c r="D25" s="362" t="e">
        <f>D7/'DADOS ECONÔMICOS MENSAIS'!B16</f>
        <v>#DIV/0!</v>
      </c>
      <c r="E25" s="363"/>
      <c r="F25" s="363"/>
      <c r="G25" s="363"/>
      <c r="H25" s="363"/>
      <c r="I25" s="363"/>
      <c r="J25" s="363"/>
      <c r="K25" s="363"/>
      <c r="L25" s="363"/>
      <c r="M25" s="363"/>
      <c r="N25" s="363"/>
      <c r="O25" s="363"/>
    </row>
    <row r="26" spans="1:15" x14ac:dyDescent="0.25">
      <c r="A26" s="356">
        <v>22</v>
      </c>
      <c r="B26" s="357" t="s">
        <v>22</v>
      </c>
      <c r="C26" s="358" t="s">
        <v>23</v>
      </c>
      <c r="D26" s="364"/>
      <c r="E26" s="365"/>
      <c r="F26" s="365"/>
      <c r="G26" s="365"/>
      <c r="H26" s="365"/>
      <c r="I26" s="365"/>
      <c r="J26" s="365"/>
      <c r="K26" s="365"/>
      <c r="L26" s="365"/>
      <c r="M26" s="365"/>
      <c r="N26" s="365"/>
      <c r="O26" s="365"/>
    </row>
    <row r="27" spans="1:15" x14ac:dyDescent="0.25">
      <c r="A27" s="356">
        <v>23</v>
      </c>
      <c r="B27" s="357"/>
      <c r="C27" s="358"/>
      <c r="D27" s="186"/>
      <c r="E27" s="359"/>
      <c r="F27" s="359"/>
      <c r="G27" s="359"/>
      <c r="H27" s="359"/>
      <c r="I27" s="359"/>
      <c r="J27" s="359"/>
      <c r="K27" s="359"/>
      <c r="L27" s="359"/>
      <c r="M27" s="359"/>
      <c r="N27" s="359"/>
      <c r="O27" s="359"/>
    </row>
    <row r="28" spans="1:15" x14ac:dyDescent="0.25">
      <c r="A28" s="356">
        <v>24</v>
      </c>
      <c r="B28" s="357"/>
      <c r="C28" s="358"/>
      <c r="D28" s="186"/>
      <c r="E28" s="359"/>
      <c r="F28" s="359"/>
      <c r="G28" s="359"/>
      <c r="H28" s="359"/>
      <c r="I28" s="359"/>
      <c r="J28" s="359"/>
      <c r="K28" s="359"/>
      <c r="L28" s="359"/>
      <c r="M28" s="359"/>
      <c r="N28" s="359"/>
      <c r="O28" s="359"/>
    </row>
    <row r="29" spans="1:15" s="355" customFormat="1" x14ac:dyDescent="0.25">
      <c r="A29" s="396"/>
      <c r="B29" s="397" t="s">
        <v>145</v>
      </c>
      <c r="C29" s="398"/>
      <c r="D29" s="399"/>
      <c r="E29" s="400"/>
      <c r="F29" s="400"/>
      <c r="G29" s="400"/>
      <c r="H29" s="400"/>
      <c r="I29" s="400"/>
      <c r="J29" s="400"/>
      <c r="K29" s="400"/>
      <c r="L29" s="400"/>
      <c r="M29" s="400"/>
      <c r="N29" s="400"/>
      <c r="O29" s="400"/>
    </row>
    <row r="30" spans="1:15" x14ac:dyDescent="0.25">
      <c r="A30" s="356"/>
      <c r="B30" s="401" t="s">
        <v>115</v>
      </c>
      <c r="C30" s="358"/>
      <c r="D30" s="186"/>
      <c r="E30" s="359"/>
      <c r="F30" s="359"/>
      <c r="G30" s="359"/>
      <c r="H30" s="359"/>
      <c r="I30" s="359"/>
      <c r="J30" s="359"/>
      <c r="K30" s="359"/>
      <c r="L30" s="359"/>
      <c r="M30" s="359"/>
      <c r="N30" s="359"/>
      <c r="O30" s="359"/>
    </row>
    <row r="31" spans="1:15" x14ac:dyDescent="0.25">
      <c r="A31" s="356"/>
      <c r="B31" s="401" t="s">
        <v>116</v>
      </c>
      <c r="C31" s="358"/>
      <c r="D31" s="186"/>
      <c r="E31" s="359"/>
      <c r="F31" s="359"/>
      <c r="G31" s="359"/>
      <c r="H31" s="359"/>
      <c r="I31" s="359"/>
      <c r="J31" s="359"/>
      <c r="K31" s="359"/>
      <c r="L31" s="359"/>
      <c r="M31" s="359"/>
      <c r="N31" s="359"/>
      <c r="O31" s="359"/>
    </row>
    <row r="32" spans="1:15" x14ac:dyDescent="0.25">
      <c r="A32" s="356"/>
      <c r="B32" s="401" t="s">
        <v>117</v>
      </c>
      <c r="C32" s="358"/>
      <c r="D32" s="186"/>
      <c r="E32" s="359"/>
      <c r="F32" s="359"/>
      <c r="G32" s="359"/>
      <c r="H32" s="359"/>
      <c r="I32" s="359"/>
      <c r="J32" s="359"/>
      <c r="K32" s="359"/>
      <c r="L32" s="359"/>
      <c r="M32" s="359"/>
      <c r="N32" s="359"/>
      <c r="O32" s="359"/>
    </row>
    <row r="33" spans="1:15" x14ac:dyDescent="0.25">
      <c r="A33" s="356"/>
      <c r="B33" s="401" t="s">
        <v>118</v>
      </c>
      <c r="C33" s="358"/>
      <c r="D33" s="186"/>
      <c r="E33" s="359"/>
      <c r="F33" s="359"/>
      <c r="G33" s="359"/>
      <c r="H33" s="359"/>
      <c r="I33" s="359"/>
      <c r="J33" s="359"/>
      <c r="K33" s="359"/>
      <c r="L33" s="359"/>
      <c r="M33" s="359"/>
      <c r="N33" s="359"/>
      <c r="O33" s="359"/>
    </row>
    <row r="34" spans="1:15" x14ac:dyDescent="0.25">
      <c r="A34" s="356"/>
      <c r="B34" s="401" t="s">
        <v>119</v>
      </c>
      <c r="C34" s="358"/>
      <c r="D34" s="186"/>
      <c r="E34" s="359"/>
      <c r="F34" s="359"/>
      <c r="G34" s="359"/>
      <c r="H34" s="359"/>
      <c r="I34" s="359"/>
      <c r="J34" s="359"/>
      <c r="K34" s="359"/>
      <c r="L34" s="359"/>
      <c r="M34" s="359"/>
      <c r="N34" s="359"/>
      <c r="O34" s="359"/>
    </row>
    <row r="35" spans="1:15" x14ac:dyDescent="0.25">
      <c r="A35" s="356"/>
      <c r="B35" s="401" t="s">
        <v>120</v>
      </c>
      <c r="C35" s="358"/>
      <c r="D35" s="186"/>
      <c r="E35" s="359"/>
      <c r="F35" s="359"/>
      <c r="G35" s="359"/>
      <c r="H35" s="359"/>
      <c r="I35" s="359"/>
      <c r="J35" s="359"/>
      <c r="K35" s="359"/>
      <c r="L35" s="359"/>
      <c r="M35" s="359"/>
      <c r="N35" s="359"/>
      <c r="O35" s="359"/>
    </row>
    <row r="36" spans="1:15" x14ac:dyDescent="0.25">
      <c r="A36" s="356"/>
      <c r="B36" s="401" t="s">
        <v>121</v>
      </c>
      <c r="C36" s="358"/>
      <c r="D36" s="186"/>
      <c r="E36" s="359"/>
      <c r="F36" s="359"/>
      <c r="G36" s="359"/>
      <c r="H36" s="359"/>
      <c r="I36" s="359"/>
      <c r="J36" s="359"/>
      <c r="K36" s="359"/>
      <c r="L36" s="359"/>
      <c r="M36" s="359"/>
      <c r="N36" s="359"/>
      <c r="O36" s="359"/>
    </row>
    <row r="37" spans="1:15" x14ac:dyDescent="0.25">
      <c r="A37" s="356"/>
      <c r="B37" s="401"/>
      <c r="C37" s="358"/>
      <c r="D37" s="186"/>
      <c r="E37" s="359"/>
      <c r="F37" s="359"/>
      <c r="G37" s="359"/>
      <c r="H37" s="359"/>
      <c r="I37" s="359"/>
      <c r="J37" s="359"/>
      <c r="K37" s="359"/>
      <c r="L37" s="359"/>
      <c r="M37" s="359"/>
      <c r="N37" s="359"/>
      <c r="O37" s="359"/>
    </row>
    <row r="38" spans="1:15" x14ac:dyDescent="0.25">
      <c r="A38" s="356"/>
      <c r="B38" s="401"/>
      <c r="C38" s="358"/>
      <c r="D38" s="186"/>
      <c r="E38" s="359"/>
      <c r="F38" s="359"/>
      <c r="G38" s="359"/>
      <c r="H38" s="359"/>
      <c r="I38" s="359"/>
      <c r="J38" s="359"/>
      <c r="K38" s="359"/>
      <c r="L38" s="359"/>
      <c r="M38" s="359"/>
      <c r="N38" s="359"/>
      <c r="O38" s="359"/>
    </row>
    <row r="39" spans="1:15" x14ac:dyDescent="0.25">
      <c r="A39" s="356"/>
      <c r="B39" s="356"/>
      <c r="C39" s="358"/>
      <c r="D39" s="362"/>
      <c r="E39" s="363"/>
      <c r="F39" s="363"/>
      <c r="G39" s="363"/>
      <c r="H39" s="363"/>
      <c r="I39" s="363"/>
      <c r="J39" s="363"/>
      <c r="K39" s="363"/>
      <c r="L39" s="363"/>
      <c r="M39" s="363"/>
      <c r="N39" s="363"/>
      <c r="O39" s="363"/>
    </row>
    <row r="40" spans="1:15" s="355" customFormat="1" x14ac:dyDescent="0.25">
      <c r="A40" s="396"/>
      <c r="B40" s="397" t="s">
        <v>147</v>
      </c>
      <c r="C40" s="398"/>
      <c r="D40" s="402"/>
      <c r="E40" s="403"/>
      <c r="F40" s="403"/>
      <c r="G40" s="403"/>
      <c r="H40" s="403"/>
      <c r="I40" s="403"/>
      <c r="J40" s="403"/>
      <c r="K40" s="403"/>
      <c r="L40" s="403"/>
      <c r="M40" s="403"/>
      <c r="N40" s="403"/>
      <c r="O40" s="403"/>
    </row>
    <row r="41" spans="1:15" x14ac:dyDescent="0.25">
      <c r="A41" s="356"/>
      <c r="B41" s="357" t="s">
        <v>122</v>
      </c>
      <c r="C41" s="358"/>
      <c r="D41" s="186"/>
      <c r="E41" s="359"/>
      <c r="F41" s="359"/>
      <c r="G41" s="359"/>
      <c r="H41" s="359"/>
      <c r="I41" s="359"/>
      <c r="J41" s="359"/>
      <c r="K41" s="359"/>
      <c r="L41" s="359"/>
      <c r="M41" s="359"/>
      <c r="N41" s="359"/>
      <c r="O41" s="359"/>
    </row>
    <row r="42" spans="1:15" x14ac:dyDescent="0.25">
      <c r="A42" s="356"/>
      <c r="B42" s="357" t="s">
        <v>123</v>
      </c>
      <c r="C42" s="358"/>
      <c r="D42" s="186"/>
      <c r="E42" s="359"/>
      <c r="F42" s="359"/>
      <c r="G42" s="359"/>
      <c r="H42" s="359"/>
      <c r="I42" s="359"/>
      <c r="J42" s="359"/>
      <c r="K42" s="359"/>
      <c r="L42" s="359"/>
      <c r="M42" s="359"/>
      <c r="N42" s="359"/>
      <c r="O42" s="359"/>
    </row>
    <row r="43" spans="1:15" x14ac:dyDescent="0.25">
      <c r="A43" s="356"/>
      <c r="B43" s="357" t="s">
        <v>124</v>
      </c>
      <c r="C43" s="358"/>
      <c r="D43" s="186"/>
      <c r="E43" s="359"/>
      <c r="F43" s="359"/>
      <c r="G43" s="359"/>
      <c r="H43" s="359"/>
      <c r="I43" s="359"/>
      <c r="J43" s="359"/>
      <c r="K43" s="359"/>
      <c r="L43" s="359"/>
      <c r="M43" s="359"/>
      <c r="N43" s="359"/>
      <c r="O43" s="359"/>
    </row>
    <row r="44" spans="1:15" x14ac:dyDescent="0.25">
      <c r="A44" s="356"/>
      <c r="B44" s="357" t="s">
        <v>125</v>
      </c>
      <c r="C44" s="358"/>
      <c r="D44" s="186"/>
      <c r="E44" s="359"/>
      <c r="F44" s="359"/>
      <c r="G44" s="359"/>
      <c r="H44" s="359"/>
      <c r="I44" s="359"/>
      <c r="J44" s="359"/>
      <c r="K44" s="359"/>
      <c r="L44" s="359"/>
      <c r="M44" s="359"/>
      <c r="N44" s="359"/>
      <c r="O44" s="359"/>
    </row>
    <row r="45" spans="1:15" x14ac:dyDescent="0.25">
      <c r="A45" s="356"/>
      <c r="B45" s="357" t="s">
        <v>126</v>
      </c>
      <c r="C45" s="358"/>
      <c r="D45" s="186"/>
      <c r="E45" s="359"/>
      <c r="F45" s="359"/>
      <c r="G45" s="359"/>
      <c r="H45" s="359"/>
      <c r="I45" s="359"/>
      <c r="J45" s="359"/>
      <c r="K45" s="359"/>
      <c r="L45" s="359"/>
      <c r="M45" s="359"/>
      <c r="N45" s="359"/>
      <c r="O45" s="359"/>
    </row>
    <row r="46" spans="1:15" x14ac:dyDescent="0.25">
      <c r="A46" s="356"/>
      <c r="B46" s="357"/>
      <c r="C46" s="358"/>
      <c r="D46" s="186"/>
      <c r="E46" s="359"/>
      <c r="F46" s="359"/>
      <c r="G46" s="359"/>
      <c r="H46" s="359"/>
      <c r="I46" s="359"/>
      <c r="J46" s="359"/>
      <c r="K46" s="359"/>
      <c r="L46" s="359"/>
      <c r="M46" s="359"/>
      <c r="N46" s="359"/>
      <c r="O46" s="359"/>
    </row>
    <row r="47" spans="1:15" x14ac:dyDescent="0.25">
      <c r="A47" s="356"/>
      <c r="B47" s="357"/>
      <c r="C47" s="358"/>
      <c r="D47" s="186"/>
      <c r="E47" s="359"/>
      <c r="F47" s="359"/>
      <c r="G47" s="359"/>
      <c r="H47" s="359"/>
      <c r="I47" s="359"/>
      <c r="J47" s="359"/>
      <c r="K47" s="359"/>
      <c r="L47" s="359"/>
      <c r="M47" s="359"/>
      <c r="N47" s="359"/>
      <c r="O47" s="359"/>
    </row>
    <row r="48" spans="1:15" x14ac:dyDescent="0.25">
      <c r="A48" s="356"/>
      <c r="B48" s="357"/>
      <c r="C48" s="358"/>
      <c r="D48" s="186"/>
      <c r="E48" s="359"/>
      <c r="F48" s="359"/>
      <c r="G48" s="359"/>
      <c r="H48" s="359"/>
      <c r="I48" s="359"/>
      <c r="J48" s="359"/>
      <c r="K48" s="359"/>
      <c r="L48" s="359"/>
      <c r="M48" s="359"/>
      <c r="N48" s="359"/>
      <c r="O48" s="359"/>
    </row>
    <row r="49" spans="1:15" x14ac:dyDescent="0.25">
      <c r="A49" s="356"/>
      <c r="B49" s="357"/>
      <c r="C49" s="358"/>
      <c r="D49" s="186"/>
      <c r="E49" s="359"/>
      <c r="F49" s="359"/>
      <c r="G49" s="359"/>
      <c r="H49" s="359"/>
      <c r="I49" s="359"/>
      <c r="J49" s="359"/>
      <c r="K49" s="359"/>
      <c r="L49" s="359"/>
      <c r="M49" s="359"/>
      <c r="N49" s="359"/>
      <c r="O49" s="359"/>
    </row>
    <row r="50" spans="1:15" x14ac:dyDescent="0.25">
      <c r="A50" s="356"/>
      <c r="B50" s="357"/>
      <c r="C50" s="358"/>
      <c r="D50" s="186"/>
      <c r="E50" s="359"/>
      <c r="F50" s="359"/>
      <c r="G50" s="359"/>
      <c r="H50" s="359"/>
      <c r="I50" s="359"/>
      <c r="J50" s="359"/>
      <c r="K50" s="359"/>
      <c r="L50" s="359"/>
      <c r="M50" s="359"/>
      <c r="N50" s="359"/>
      <c r="O50" s="359"/>
    </row>
    <row r="51" spans="1:15" x14ac:dyDescent="0.25">
      <c r="A51" s="356"/>
      <c r="B51" s="357"/>
      <c r="C51" s="358"/>
      <c r="D51" s="186"/>
      <c r="E51" s="359"/>
      <c r="F51" s="359"/>
      <c r="G51" s="359"/>
      <c r="H51" s="359"/>
      <c r="I51" s="359"/>
      <c r="J51" s="359"/>
      <c r="K51" s="359"/>
      <c r="L51" s="359"/>
      <c r="M51" s="359"/>
      <c r="N51" s="359"/>
      <c r="O51" s="359"/>
    </row>
    <row r="52" spans="1:15" x14ac:dyDescent="0.25">
      <c r="A52" s="356"/>
      <c r="B52" s="357"/>
      <c r="C52" s="358"/>
      <c r="D52" s="186"/>
      <c r="E52" s="359"/>
      <c r="F52" s="359"/>
      <c r="G52" s="359"/>
      <c r="H52" s="359"/>
      <c r="I52" s="359"/>
      <c r="J52" s="359"/>
      <c r="K52" s="359"/>
      <c r="L52" s="359"/>
      <c r="M52" s="359"/>
      <c r="N52" s="359"/>
      <c r="O52" s="359"/>
    </row>
    <row r="53" spans="1:15" x14ac:dyDescent="0.25">
      <c r="A53" s="356"/>
      <c r="B53" s="357"/>
      <c r="C53" s="358"/>
      <c r="D53" s="186"/>
      <c r="E53" s="359"/>
      <c r="F53" s="359"/>
      <c r="G53" s="359"/>
      <c r="H53" s="359"/>
      <c r="I53" s="359"/>
      <c r="J53" s="359"/>
      <c r="K53" s="359"/>
      <c r="L53" s="359"/>
      <c r="M53" s="359"/>
      <c r="N53" s="359"/>
      <c r="O53" s="359"/>
    </row>
    <row r="54" spans="1:15" x14ac:dyDescent="0.25">
      <c r="A54" s="356"/>
      <c r="B54" s="357"/>
      <c r="C54" s="358"/>
      <c r="D54" s="186"/>
      <c r="E54" s="359"/>
      <c r="F54" s="359"/>
      <c r="G54" s="359"/>
      <c r="H54" s="359"/>
      <c r="I54" s="359"/>
      <c r="J54" s="359"/>
      <c r="K54" s="359"/>
      <c r="L54" s="359"/>
      <c r="M54" s="359"/>
      <c r="N54" s="359"/>
      <c r="O54" s="359"/>
    </row>
    <row r="55" spans="1:15" x14ac:dyDescent="0.25">
      <c r="A55" s="356"/>
      <c r="B55" s="357"/>
      <c r="C55" s="358"/>
      <c r="D55" s="186"/>
      <c r="E55" s="359"/>
      <c r="F55" s="359"/>
      <c r="G55" s="359"/>
      <c r="H55" s="359"/>
      <c r="I55" s="359"/>
      <c r="J55" s="359"/>
      <c r="K55" s="359"/>
      <c r="L55" s="359"/>
      <c r="M55" s="359"/>
      <c r="N55" s="359"/>
      <c r="O55" s="359"/>
    </row>
    <row r="56" spans="1:15" x14ac:dyDescent="0.25">
      <c r="A56" s="356"/>
      <c r="B56" s="357"/>
      <c r="C56" s="358"/>
      <c r="D56" s="186"/>
      <c r="E56" s="359"/>
      <c r="F56" s="359"/>
      <c r="G56" s="359"/>
      <c r="H56" s="359"/>
      <c r="I56" s="359"/>
      <c r="J56" s="359"/>
      <c r="K56" s="359"/>
      <c r="L56" s="359"/>
      <c r="M56" s="359"/>
      <c r="N56" s="359"/>
      <c r="O56" s="359"/>
    </row>
    <row r="57" spans="1:15" x14ac:dyDescent="0.25">
      <c r="A57" s="356"/>
      <c r="B57" s="357"/>
      <c r="C57" s="358"/>
      <c r="D57" s="186"/>
      <c r="E57" s="359"/>
      <c r="F57" s="359"/>
      <c r="G57" s="359"/>
      <c r="H57" s="359"/>
      <c r="I57" s="359"/>
      <c r="J57" s="359"/>
      <c r="K57" s="359"/>
      <c r="L57" s="359"/>
      <c r="M57" s="359"/>
      <c r="N57" s="359"/>
      <c r="O57" s="359"/>
    </row>
    <row r="58" spans="1:15" x14ac:dyDescent="0.25">
      <c r="A58" s="356"/>
      <c r="B58" s="357"/>
      <c r="C58" s="358"/>
      <c r="D58" s="186"/>
      <c r="E58" s="359"/>
      <c r="F58" s="359"/>
      <c r="G58" s="359"/>
      <c r="H58" s="359"/>
      <c r="I58" s="359"/>
      <c r="J58" s="359"/>
      <c r="K58" s="359"/>
      <c r="L58" s="359"/>
      <c r="M58" s="359"/>
      <c r="N58" s="359"/>
      <c r="O58" s="359"/>
    </row>
    <row r="59" spans="1:15" x14ac:dyDescent="0.25">
      <c r="A59" s="356"/>
      <c r="B59" s="357"/>
      <c r="C59" s="358"/>
      <c r="D59" s="186"/>
      <c r="E59" s="359"/>
      <c r="F59" s="359"/>
      <c r="G59" s="359"/>
      <c r="H59" s="359"/>
      <c r="I59" s="359"/>
      <c r="J59" s="359"/>
      <c r="K59" s="359"/>
      <c r="L59" s="359"/>
      <c r="M59" s="359"/>
      <c r="N59" s="359"/>
      <c r="O59" s="359"/>
    </row>
    <row r="60" spans="1:15" x14ac:dyDescent="0.25">
      <c r="A60" s="404"/>
      <c r="B60" s="357"/>
      <c r="C60" s="358"/>
      <c r="D60" s="370"/>
      <c r="E60" s="371"/>
      <c r="F60" s="371"/>
      <c r="G60" s="371"/>
      <c r="H60" s="371"/>
      <c r="I60" s="371"/>
      <c r="J60" s="371"/>
      <c r="K60" s="371"/>
      <c r="L60" s="371"/>
      <c r="M60" s="371"/>
      <c r="N60" s="371"/>
      <c r="O60" s="371"/>
    </row>
    <row r="61" spans="1:15" x14ac:dyDescent="0.25">
      <c r="A61" s="404"/>
      <c r="B61" s="357"/>
      <c r="C61" s="358"/>
      <c r="D61" s="370"/>
      <c r="E61" s="371"/>
      <c r="F61" s="371"/>
      <c r="G61" s="371"/>
      <c r="H61" s="371"/>
      <c r="I61" s="371"/>
      <c r="J61" s="371"/>
      <c r="K61" s="371"/>
      <c r="L61" s="371"/>
      <c r="M61" s="371"/>
      <c r="N61" s="371"/>
      <c r="O61" s="371"/>
    </row>
    <row r="62" spans="1:15" x14ac:dyDescent="0.25">
      <c r="A62" s="404"/>
      <c r="B62" s="357"/>
      <c r="C62" s="366"/>
      <c r="D62" s="372"/>
      <c r="E62" s="373"/>
      <c r="F62" s="373"/>
      <c r="G62" s="373"/>
      <c r="H62" s="373"/>
      <c r="I62" s="373"/>
      <c r="J62" s="373"/>
      <c r="K62" s="373"/>
      <c r="L62" s="373"/>
      <c r="M62" s="373"/>
      <c r="N62" s="373"/>
      <c r="O62" s="373"/>
    </row>
    <row r="63" spans="1:15" x14ac:dyDescent="0.25">
      <c r="A63" s="405"/>
      <c r="B63" s="367"/>
      <c r="C63" s="366"/>
      <c r="D63" s="372"/>
      <c r="E63" s="373"/>
      <c r="F63" s="373"/>
      <c r="G63" s="373"/>
      <c r="H63" s="373"/>
      <c r="I63" s="373"/>
      <c r="J63" s="373"/>
      <c r="K63" s="373"/>
      <c r="L63" s="373"/>
      <c r="M63" s="373"/>
      <c r="N63" s="373"/>
      <c r="O63" s="373"/>
    </row>
    <row r="64" spans="1:15" ht="15.75" thickBot="1" x14ac:dyDescent="0.3">
      <c r="A64" s="406"/>
      <c r="B64" s="407"/>
      <c r="C64" s="408"/>
      <c r="D64" s="376"/>
      <c r="E64" s="377"/>
      <c r="F64" s="377"/>
      <c r="G64" s="377"/>
      <c r="H64" s="377"/>
      <c r="I64" s="377"/>
      <c r="J64" s="377"/>
      <c r="K64" s="377"/>
      <c r="L64" s="377"/>
      <c r="M64" s="377"/>
      <c r="N64" s="377"/>
      <c r="O64" s="377"/>
    </row>
    <row r="65" spans="1:4" x14ac:dyDescent="0.25">
      <c r="A65" s="378"/>
      <c r="B65" s="379"/>
      <c r="C65" s="380"/>
      <c r="D65" s="381"/>
    </row>
  </sheetData>
  <mergeCells count="1">
    <mergeCell ref="A2:B4"/>
  </mergeCells>
  <pageMargins left="0.511811024" right="0.511811024" top="0.78740157499999996" bottom="0.78740157499999996" header="0.31496062000000002" footer="0.31496062000000002"/>
  <ignoredErrors>
    <ignoredError sqref="D9:D10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1]!Menu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428625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Menu">
                <anchor moveWithCells="1" sizeWithCells="1">
                  <from>
                    <xdr:col>0</xdr:col>
                    <xdr:colOff>19050</xdr:colOff>
                    <xdr:row>0</xdr:row>
                    <xdr:rowOff>28575</xdr:rowOff>
                  </from>
                  <to>
                    <xdr:col>1</xdr:col>
                    <xdr:colOff>428625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1"/>
  <sheetViews>
    <sheetView workbookViewId="0">
      <selection activeCell="A2" sqref="A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/>
  <dimension ref="A1"/>
  <sheetViews>
    <sheetView workbookViewId="0">
      <selection activeCell="I20" sqref="I20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3" name="Button 2">
              <controlPr defaultSize="0" print="0" autoFill="0" autoPict="0" macro="[0]!Menu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171450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K23"/>
  <sheetViews>
    <sheetView workbookViewId="0">
      <selection activeCell="G14" sqref="G14"/>
    </sheetView>
  </sheetViews>
  <sheetFormatPr defaultRowHeight="15" x14ac:dyDescent="0.25"/>
  <cols>
    <col min="1" max="1" width="7.85546875" bestFit="1" customWidth="1"/>
    <col min="2" max="2" width="24.85546875" bestFit="1" customWidth="1"/>
    <col min="3" max="3" width="17.42578125" customWidth="1"/>
    <col min="4" max="4" width="13.28515625" bestFit="1" customWidth="1"/>
    <col min="6" max="6" width="5.7109375" customWidth="1"/>
    <col min="7" max="7" width="45" bestFit="1" customWidth="1"/>
    <col min="8" max="8" width="19.5703125" customWidth="1"/>
    <col min="10" max="10" width="20.85546875" customWidth="1"/>
    <col min="11" max="11" width="11.7109375" customWidth="1"/>
  </cols>
  <sheetData>
    <row r="1" spans="1:11" ht="18.75" x14ac:dyDescent="0.3">
      <c r="A1" s="304" t="s">
        <v>275</v>
      </c>
      <c r="B1" s="305"/>
      <c r="C1" s="305"/>
      <c r="D1" s="305"/>
      <c r="E1" s="306"/>
      <c r="G1" s="304" t="s">
        <v>276</v>
      </c>
      <c r="H1" s="306"/>
      <c r="J1" s="307" t="s">
        <v>277</v>
      </c>
      <c r="K1" s="308"/>
    </row>
    <row r="2" spans="1:11" ht="15.75" x14ac:dyDescent="0.25">
      <c r="A2" s="187"/>
      <c r="B2" s="188"/>
      <c r="C2" s="188"/>
      <c r="D2" s="188"/>
      <c r="E2" s="189"/>
      <c r="G2" s="187"/>
      <c r="H2" s="189"/>
      <c r="J2" s="190"/>
      <c r="K2" s="191" t="s">
        <v>15</v>
      </c>
    </row>
    <row r="3" spans="1:11" ht="15.75" x14ac:dyDescent="0.25">
      <c r="A3" s="300" t="s">
        <v>278</v>
      </c>
      <c r="B3" s="309"/>
      <c r="C3" s="310"/>
      <c r="D3" s="310"/>
      <c r="E3" s="311"/>
      <c r="G3" s="192"/>
      <c r="H3" s="193"/>
      <c r="J3" s="194" t="s">
        <v>279</v>
      </c>
      <c r="K3" s="195">
        <v>35</v>
      </c>
    </row>
    <row r="4" spans="1:11" ht="15.75" x14ac:dyDescent="0.25">
      <c r="A4" s="300"/>
      <c r="B4" s="301"/>
      <c r="C4" s="302"/>
      <c r="D4" s="302"/>
      <c r="E4" s="303"/>
      <c r="G4" s="196" t="s">
        <v>280</v>
      </c>
      <c r="H4" s="193">
        <f>D14</f>
        <v>0</v>
      </c>
      <c r="J4" s="194" t="s">
        <v>281</v>
      </c>
      <c r="K4" s="195">
        <v>37</v>
      </c>
    </row>
    <row r="5" spans="1:11" ht="15.75" x14ac:dyDescent="0.25">
      <c r="A5" s="187"/>
      <c r="B5" s="188"/>
      <c r="C5" s="188"/>
      <c r="D5" s="188"/>
      <c r="E5" s="189"/>
      <c r="G5" s="196" t="s">
        <v>282</v>
      </c>
      <c r="H5" s="197">
        <f>H4*450/1000</f>
        <v>0</v>
      </c>
      <c r="J5" s="194" t="s">
        <v>283</v>
      </c>
      <c r="K5" s="195">
        <v>23</v>
      </c>
    </row>
    <row r="6" spans="1:11" ht="15.75" x14ac:dyDescent="0.25">
      <c r="A6" s="198" t="s">
        <v>284</v>
      </c>
      <c r="B6" s="198" t="s">
        <v>148</v>
      </c>
      <c r="C6" s="198" t="s">
        <v>285</v>
      </c>
      <c r="D6" s="198" t="s">
        <v>286</v>
      </c>
      <c r="E6" s="189"/>
      <c r="G6" s="192" t="s">
        <v>287</v>
      </c>
      <c r="H6" s="199">
        <v>2.5000000000000001E-2</v>
      </c>
      <c r="J6" s="194" t="s">
        <v>288</v>
      </c>
      <c r="K6" s="195">
        <v>92</v>
      </c>
    </row>
    <row r="7" spans="1:11" ht="15.75" x14ac:dyDescent="0.25">
      <c r="A7" s="200"/>
      <c r="B7" s="201" t="s">
        <v>289</v>
      </c>
      <c r="C7" s="200"/>
      <c r="D7" s="202">
        <f>SUM(D8:D12)</f>
        <v>0</v>
      </c>
      <c r="E7" s="189"/>
      <c r="G7" s="192" t="s">
        <v>290</v>
      </c>
      <c r="H7" s="203">
        <f>H6*H5</f>
        <v>0</v>
      </c>
      <c r="J7" s="194" t="s">
        <v>291</v>
      </c>
      <c r="K7" s="195">
        <v>85</v>
      </c>
    </row>
    <row r="8" spans="1:11" ht="15.75" x14ac:dyDescent="0.25">
      <c r="A8" s="204"/>
      <c r="B8" s="200" t="s">
        <v>292</v>
      </c>
      <c r="C8" s="205">
        <v>1.5</v>
      </c>
      <c r="D8" s="206">
        <f t="shared" ref="D8:D13" si="0">A8*C8</f>
        <v>0</v>
      </c>
      <c r="E8" s="189"/>
      <c r="G8" s="196" t="s">
        <v>293</v>
      </c>
      <c r="H8" s="199">
        <v>0.3</v>
      </c>
      <c r="J8" s="194" t="s">
        <v>186</v>
      </c>
      <c r="K8" s="195">
        <v>10</v>
      </c>
    </row>
    <row r="9" spans="1:11" ht="15.75" x14ac:dyDescent="0.25">
      <c r="A9" s="204"/>
      <c r="B9" s="200" t="s">
        <v>294</v>
      </c>
      <c r="C9" s="205">
        <v>1</v>
      </c>
      <c r="D9" s="206">
        <f t="shared" si="0"/>
        <v>0</v>
      </c>
      <c r="E9" s="189"/>
      <c r="G9" s="196" t="s">
        <v>295</v>
      </c>
      <c r="H9" s="199">
        <v>1</v>
      </c>
      <c r="J9" s="194" t="s">
        <v>296</v>
      </c>
      <c r="K9" s="195">
        <v>23</v>
      </c>
    </row>
    <row r="10" spans="1:11" ht="15.75" x14ac:dyDescent="0.25">
      <c r="A10" s="204"/>
      <c r="B10" s="200" t="s">
        <v>297</v>
      </c>
      <c r="C10" s="205">
        <v>1</v>
      </c>
      <c r="D10" s="206">
        <f t="shared" si="0"/>
        <v>0</v>
      </c>
      <c r="E10" s="189"/>
      <c r="G10" s="196" t="s">
        <v>298</v>
      </c>
      <c r="H10" s="203">
        <f>H7/H8*H9</f>
        <v>0</v>
      </c>
      <c r="J10" s="207"/>
      <c r="K10" s="197"/>
    </row>
    <row r="11" spans="1:11" ht="15.75" x14ac:dyDescent="0.25">
      <c r="A11" s="204"/>
      <c r="B11" s="200" t="s">
        <v>299</v>
      </c>
      <c r="C11" s="205">
        <v>0.5</v>
      </c>
      <c r="D11" s="206">
        <f t="shared" si="0"/>
        <v>0</v>
      </c>
      <c r="E11" s="189"/>
      <c r="G11" s="196" t="s">
        <v>300</v>
      </c>
      <c r="H11" s="208">
        <f>H10*1000</f>
        <v>0</v>
      </c>
      <c r="J11" s="207"/>
      <c r="K11" s="197"/>
    </row>
    <row r="12" spans="1:11" ht="15.75" x14ac:dyDescent="0.25">
      <c r="A12" s="209"/>
      <c r="B12" s="210" t="s">
        <v>301</v>
      </c>
      <c r="C12" s="211">
        <v>0.33</v>
      </c>
      <c r="D12" s="206">
        <f t="shared" si="0"/>
        <v>0</v>
      </c>
      <c r="E12" s="189"/>
      <c r="G12" s="196" t="s">
        <v>302</v>
      </c>
      <c r="H12" s="212">
        <v>180</v>
      </c>
      <c r="J12" s="207"/>
      <c r="K12" s="197"/>
    </row>
    <row r="13" spans="1:11" ht="15.75" x14ac:dyDescent="0.25">
      <c r="A13" s="209"/>
      <c r="B13" s="213" t="s">
        <v>303</v>
      </c>
      <c r="C13" s="211">
        <v>1.5</v>
      </c>
      <c r="D13" s="214">
        <f t="shared" si="0"/>
        <v>0</v>
      </c>
      <c r="E13" s="189"/>
      <c r="G13" s="196" t="s">
        <v>304</v>
      </c>
      <c r="H13" s="208">
        <f>H10*H12</f>
        <v>0</v>
      </c>
      <c r="J13" s="207"/>
      <c r="K13" s="197"/>
    </row>
    <row r="14" spans="1:11" ht="15.75" x14ac:dyDescent="0.25">
      <c r="A14" s="187"/>
      <c r="B14" s="188"/>
      <c r="C14" s="215" t="s">
        <v>305</v>
      </c>
      <c r="D14" s="216">
        <f>SUM(D8:D13)</f>
        <v>0</v>
      </c>
      <c r="E14" s="189"/>
      <c r="G14" s="192" t="s">
        <v>306</v>
      </c>
      <c r="H14" s="208">
        <f>H11*H12</f>
        <v>0</v>
      </c>
      <c r="J14" s="217"/>
      <c r="K14" s="197"/>
    </row>
    <row r="15" spans="1:11" ht="15.75" x14ac:dyDescent="0.25">
      <c r="A15" s="218"/>
      <c r="B15" s="219"/>
      <c r="C15" s="220"/>
      <c r="D15" s="221"/>
      <c r="E15" s="222"/>
      <c r="G15" s="223"/>
      <c r="H15" s="224"/>
      <c r="J15" s="225"/>
      <c r="K15" s="226"/>
    </row>
    <row r="17" spans="1:5" x14ac:dyDescent="0.25">
      <c r="A17" s="227" t="s">
        <v>307</v>
      </c>
      <c r="B17" s="228" t="s">
        <v>308</v>
      </c>
      <c r="C17" s="229" t="s">
        <v>309</v>
      </c>
      <c r="D17" s="230"/>
      <c r="E17" s="230"/>
    </row>
    <row r="18" spans="1:5" x14ac:dyDescent="0.25">
      <c r="A18" s="231"/>
      <c r="B18" s="232">
        <v>3</v>
      </c>
      <c r="C18" s="233">
        <f>A18/B18</f>
        <v>0</v>
      </c>
    </row>
    <row r="19" spans="1:5" x14ac:dyDescent="0.25">
      <c r="B19" s="234"/>
    </row>
    <row r="20" spans="1:5" x14ac:dyDescent="0.25">
      <c r="B20" s="234"/>
    </row>
    <row r="21" spans="1:5" x14ac:dyDescent="0.25">
      <c r="B21" s="234"/>
    </row>
    <row r="22" spans="1:5" x14ac:dyDescent="0.25">
      <c r="B22" s="234"/>
    </row>
    <row r="23" spans="1:5" x14ac:dyDescent="0.25">
      <c r="B23" s="234"/>
    </row>
  </sheetData>
  <sheetProtection sheet="1" objects="1" scenarios="1"/>
  <mergeCells count="7">
    <mergeCell ref="A4:B4"/>
    <mergeCell ref="C4:E4"/>
    <mergeCell ref="A1:E1"/>
    <mergeCell ref="G1:H1"/>
    <mergeCell ref="J1:K1"/>
    <mergeCell ref="A3:B3"/>
    <mergeCell ref="C3:E3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O17"/>
  <sheetViews>
    <sheetView workbookViewId="0">
      <selection activeCell="J18" sqref="J18"/>
    </sheetView>
  </sheetViews>
  <sheetFormatPr defaultRowHeight="15" x14ac:dyDescent="0.25"/>
  <cols>
    <col min="1" max="1" width="11.140625" style="1" customWidth="1"/>
    <col min="2" max="2" width="12.140625" style="1" bestFit="1" customWidth="1"/>
    <col min="3" max="3" width="10.85546875" style="1" bestFit="1" customWidth="1"/>
    <col min="4" max="4" width="12" style="1" bestFit="1" customWidth="1"/>
    <col min="5" max="5" width="17.5703125" style="1" bestFit="1" customWidth="1"/>
    <col min="6" max="6" width="10.42578125" style="1" customWidth="1"/>
    <col min="7" max="13" width="9.140625" style="1" customWidth="1"/>
    <col min="14" max="16384" width="9.140625" style="1"/>
  </cols>
  <sheetData>
    <row r="1" spans="1:15" ht="23.25" customHeight="1" x14ac:dyDescent="0.25">
      <c r="A1" s="313" t="s">
        <v>141</v>
      </c>
      <c r="B1" s="313"/>
      <c r="C1" s="313"/>
      <c r="D1" s="313"/>
      <c r="E1" s="312" t="s">
        <v>67</v>
      </c>
      <c r="F1" s="312"/>
      <c r="G1" s="312"/>
      <c r="H1" s="312"/>
      <c r="I1" s="312"/>
      <c r="J1" s="312"/>
      <c r="K1" s="312"/>
      <c r="L1" s="312"/>
    </row>
    <row r="2" spans="1:15" ht="23.25" customHeight="1" x14ac:dyDescent="0.25">
      <c r="A2" s="313"/>
      <c r="B2" s="313"/>
      <c r="C2" s="313"/>
      <c r="D2" s="313"/>
      <c r="E2" s="55" t="s">
        <v>46</v>
      </c>
      <c r="F2" s="56">
        <v>3</v>
      </c>
      <c r="G2" s="56">
        <v>2.9</v>
      </c>
      <c r="H2" s="57" t="s">
        <v>47</v>
      </c>
      <c r="I2" s="58"/>
      <c r="J2" s="58">
        <v>8.4</v>
      </c>
      <c r="K2" s="55">
        <v>0</v>
      </c>
      <c r="L2" s="55">
        <v>0</v>
      </c>
    </row>
    <row r="3" spans="1:15" ht="23.25" customHeight="1" x14ac:dyDescent="0.35">
      <c r="A3" s="48"/>
      <c r="B3" s="48"/>
      <c r="E3" s="55" t="s">
        <v>48</v>
      </c>
      <c r="F3" s="56">
        <v>4.9000000000000004</v>
      </c>
      <c r="G3" s="56">
        <v>4</v>
      </c>
      <c r="H3" s="57" t="s">
        <v>47</v>
      </c>
      <c r="I3" s="58" t="s">
        <v>47</v>
      </c>
      <c r="J3" s="55" t="s">
        <v>47</v>
      </c>
      <c r="K3" s="59">
        <v>750000</v>
      </c>
      <c r="L3" s="59">
        <v>750000</v>
      </c>
    </row>
    <row r="5" spans="1:15" x14ac:dyDescent="0.25">
      <c r="A5" s="51" t="s">
        <v>56</v>
      </c>
      <c r="B5" s="52" t="s">
        <v>64</v>
      </c>
      <c r="C5" s="52" t="s">
        <v>68</v>
      </c>
      <c r="D5" s="52" t="s">
        <v>65</v>
      </c>
      <c r="E5" s="52" t="s">
        <v>66</v>
      </c>
      <c r="F5" s="53" t="s">
        <v>49</v>
      </c>
      <c r="G5" s="53" t="s">
        <v>50</v>
      </c>
      <c r="H5" s="53" t="s">
        <v>51</v>
      </c>
      <c r="I5" s="53" t="s">
        <v>52</v>
      </c>
      <c r="J5" s="53" t="s">
        <v>53</v>
      </c>
      <c r="K5" s="53" t="s">
        <v>54</v>
      </c>
      <c r="L5" s="54" t="s">
        <v>55</v>
      </c>
    </row>
    <row r="6" spans="1:15" x14ac:dyDescent="0.25">
      <c r="A6" s="4" t="s">
        <v>8</v>
      </c>
      <c r="B6" s="440"/>
      <c r="C6" s="440"/>
      <c r="D6" s="440"/>
      <c r="E6" s="440"/>
      <c r="F6" s="440"/>
      <c r="G6" s="440"/>
      <c r="H6" s="440"/>
      <c r="I6" s="440"/>
      <c r="J6" s="440"/>
      <c r="K6" s="440"/>
      <c r="L6" s="466"/>
      <c r="M6" s="4"/>
    </row>
    <row r="7" spans="1:15" x14ac:dyDescent="0.25">
      <c r="A7" s="4" t="s">
        <v>9</v>
      </c>
      <c r="B7" s="440"/>
      <c r="C7" s="440"/>
      <c r="D7" s="440"/>
      <c r="E7" s="440"/>
      <c r="F7" s="440"/>
      <c r="G7" s="440"/>
      <c r="H7" s="440"/>
      <c r="I7" s="440"/>
      <c r="J7" s="440"/>
      <c r="K7" s="440"/>
      <c r="L7" s="466"/>
      <c r="M7" s="49"/>
      <c r="O7" s="50"/>
    </row>
    <row r="8" spans="1:15" x14ac:dyDescent="0.25">
      <c r="A8" s="4" t="s">
        <v>10</v>
      </c>
      <c r="B8" s="440"/>
      <c r="C8" s="440"/>
      <c r="D8" s="440"/>
      <c r="E8" s="440"/>
      <c r="F8" s="440"/>
      <c r="G8" s="440"/>
      <c r="H8" s="440"/>
      <c r="I8" s="440"/>
      <c r="J8" s="440"/>
      <c r="K8" s="440"/>
      <c r="L8" s="466"/>
    </row>
    <row r="9" spans="1:15" x14ac:dyDescent="0.25">
      <c r="A9" s="4" t="s">
        <v>57</v>
      </c>
      <c r="B9" s="440"/>
      <c r="C9" s="440"/>
      <c r="D9" s="440"/>
      <c r="E9" s="440"/>
      <c r="F9" s="440"/>
      <c r="G9" s="440"/>
      <c r="H9" s="440"/>
      <c r="I9" s="440"/>
      <c r="J9" s="440"/>
      <c r="K9" s="440"/>
      <c r="L9" s="466"/>
    </row>
    <row r="10" spans="1:15" x14ac:dyDescent="0.25">
      <c r="A10" s="4" t="s">
        <v>58</v>
      </c>
      <c r="B10" s="440"/>
      <c r="C10" s="440"/>
      <c r="D10" s="440"/>
      <c r="E10" s="440"/>
      <c r="F10" s="440"/>
      <c r="G10" s="440"/>
      <c r="H10" s="440"/>
      <c r="I10" s="440"/>
      <c r="J10" s="440"/>
      <c r="K10" s="440"/>
      <c r="L10" s="466"/>
    </row>
    <row r="11" spans="1:15" x14ac:dyDescent="0.25">
      <c r="A11" s="4" t="s">
        <v>59</v>
      </c>
      <c r="B11" s="440"/>
      <c r="C11" s="440"/>
      <c r="D11" s="440"/>
      <c r="E11" s="440"/>
      <c r="F11" s="440"/>
      <c r="G11" s="440"/>
      <c r="H11" s="440"/>
      <c r="I11" s="440"/>
      <c r="J11" s="440"/>
      <c r="K11" s="440"/>
      <c r="L11" s="466"/>
    </row>
    <row r="12" spans="1:15" x14ac:dyDescent="0.25">
      <c r="A12" s="4" t="s">
        <v>60</v>
      </c>
      <c r="B12" s="440"/>
      <c r="C12" s="440"/>
      <c r="D12" s="440"/>
      <c r="E12" s="440"/>
      <c r="F12" s="440"/>
      <c r="G12" s="440"/>
      <c r="H12" s="440"/>
      <c r="I12" s="440"/>
      <c r="J12" s="440"/>
      <c r="K12" s="440"/>
      <c r="L12" s="466"/>
    </row>
    <row r="13" spans="1:15" x14ac:dyDescent="0.25">
      <c r="A13" s="4" t="s">
        <v>61</v>
      </c>
      <c r="B13" s="440"/>
      <c r="C13" s="440"/>
      <c r="D13" s="440"/>
      <c r="E13" s="440"/>
      <c r="F13" s="440"/>
      <c r="G13" s="440"/>
      <c r="H13" s="440"/>
      <c r="I13" s="440"/>
      <c r="J13" s="440"/>
      <c r="K13" s="440"/>
      <c r="L13" s="466"/>
    </row>
    <row r="14" spans="1:15" x14ac:dyDescent="0.25">
      <c r="A14" s="4" t="s">
        <v>62</v>
      </c>
      <c r="B14" s="440"/>
      <c r="C14" s="440"/>
      <c r="D14" s="440"/>
      <c r="E14" s="440"/>
      <c r="F14" s="440"/>
      <c r="G14" s="440"/>
      <c r="H14" s="440"/>
      <c r="I14" s="440"/>
      <c r="J14" s="440"/>
      <c r="K14" s="440"/>
      <c r="L14" s="466"/>
    </row>
    <row r="15" spans="1:15" ht="15.75" thickBot="1" x14ac:dyDescent="0.3">
      <c r="A15" s="6" t="s">
        <v>63</v>
      </c>
      <c r="B15" s="441"/>
      <c r="C15" s="441"/>
      <c r="D15" s="441"/>
      <c r="E15" s="441"/>
      <c r="F15" s="441"/>
      <c r="G15" s="441"/>
      <c r="H15" s="441"/>
      <c r="I15" s="441"/>
      <c r="J15" s="441"/>
      <c r="K15" s="441"/>
      <c r="L15" s="467"/>
    </row>
    <row r="17" spans="2:9" x14ac:dyDescent="0.25">
      <c r="B17" s="3"/>
      <c r="C17" s="3"/>
      <c r="D17" s="3"/>
      <c r="E17" s="3"/>
      <c r="F17" s="3"/>
      <c r="G17" s="3"/>
      <c r="H17" s="3"/>
      <c r="I17" s="3"/>
    </row>
  </sheetData>
  <sheetProtection sheet="1" objects="1" scenarios="1"/>
  <mergeCells count="2">
    <mergeCell ref="E1:L1"/>
    <mergeCell ref="A1:D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A1"/>
  <sheetViews>
    <sheetView workbookViewId="0">
      <selection activeCell="L15" sqref="L15"/>
    </sheetView>
  </sheetViews>
  <sheetFormatPr defaultRowHeight="15" x14ac:dyDescent="0.25"/>
  <sheetData/>
  <sheetProtection sheet="1" objects="1" scenarios="1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190500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A2:I20"/>
  <sheetViews>
    <sheetView workbookViewId="0">
      <selection activeCell="B16" sqref="B16"/>
    </sheetView>
  </sheetViews>
  <sheetFormatPr defaultRowHeight="15" x14ac:dyDescent="0.25"/>
  <sheetData>
    <row r="2" spans="1:9" x14ac:dyDescent="0.25">
      <c r="A2" s="236"/>
      <c r="B2" s="236"/>
      <c r="C2" s="236"/>
      <c r="D2" s="236"/>
      <c r="E2" s="236"/>
      <c r="F2" s="236"/>
      <c r="G2" s="236"/>
      <c r="H2" s="236"/>
      <c r="I2" s="236"/>
    </row>
    <row r="3" spans="1:9" x14ac:dyDescent="0.25">
      <c r="A3" s="236"/>
      <c r="B3" s="236"/>
      <c r="C3" s="236"/>
      <c r="D3" s="236"/>
      <c r="E3" s="236"/>
      <c r="F3" s="236"/>
      <c r="G3" s="236"/>
      <c r="H3" s="236"/>
      <c r="I3" s="236"/>
    </row>
    <row r="4" spans="1:9" x14ac:dyDescent="0.25">
      <c r="A4" s="236"/>
      <c r="B4" s="236"/>
      <c r="C4" s="236"/>
      <c r="D4" s="236"/>
      <c r="E4" s="236"/>
      <c r="F4" s="236"/>
      <c r="G4" s="236"/>
      <c r="H4" s="236"/>
      <c r="I4" s="236"/>
    </row>
    <row r="5" spans="1:9" x14ac:dyDescent="0.25">
      <c r="A5" s="236"/>
      <c r="B5" s="236"/>
      <c r="C5" s="236"/>
      <c r="D5" s="236"/>
      <c r="E5" s="236"/>
      <c r="F5" s="236"/>
      <c r="G5" s="236"/>
      <c r="H5" s="236"/>
      <c r="I5" s="236"/>
    </row>
    <row r="6" spans="1:9" x14ac:dyDescent="0.25">
      <c r="A6" s="236"/>
      <c r="B6" s="236"/>
      <c r="C6" s="236"/>
      <c r="D6" s="236"/>
      <c r="E6" s="236"/>
      <c r="F6" s="236"/>
      <c r="G6" s="236"/>
      <c r="H6" s="236"/>
      <c r="I6" s="236"/>
    </row>
    <row r="7" spans="1:9" x14ac:dyDescent="0.25">
      <c r="A7" s="236"/>
      <c r="B7" s="236"/>
      <c r="C7" s="236"/>
      <c r="D7" s="236"/>
      <c r="E7" s="236"/>
      <c r="F7" s="236"/>
      <c r="G7" s="236"/>
      <c r="H7" s="236"/>
      <c r="I7" s="236"/>
    </row>
    <row r="8" spans="1:9" x14ac:dyDescent="0.25">
      <c r="A8" s="236"/>
      <c r="B8" s="236"/>
      <c r="C8" s="236"/>
      <c r="D8" s="236"/>
      <c r="E8" s="236"/>
      <c r="F8" s="236"/>
      <c r="G8" s="236"/>
      <c r="H8" s="236"/>
      <c r="I8" s="236"/>
    </row>
    <row r="9" spans="1:9" x14ac:dyDescent="0.25">
      <c r="A9" s="236"/>
      <c r="B9" s="236"/>
      <c r="C9" s="236"/>
      <c r="D9" s="236"/>
      <c r="E9" s="236"/>
      <c r="F9" s="236"/>
      <c r="G9" s="236"/>
      <c r="H9" s="236"/>
      <c r="I9" s="236"/>
    </row>
    <row r="10" spans="1:9" x14ac:dyDescent="0.25">
      <c r="A10" s="236"/>
      <c r="B10" s="236"/>
      <c r="C10" s="236"/>
      <c r="D10" s="236"/>
      <c r="E10" s="236"/>
      <c r="F10" s="236"/>
      <c r="G10" s="236"/>
      <c r="H10" s="236"/>
      <c r="I10" s="236"/>
    </row>
    <row r="11" spans="1:9" x14ac:dyDescent="0.25">
      <c r="A11" s="236"/>
      <c r="B11" s="236"/>
      <c r="C11" s="236"/>
      <c r="D11" s="236"/>
      <c r="E11" s="236"/>
      <c r="F11" s="236"/>
      <c r="G11" s="236"/>
      <c r="H11" s="236"/>
      <c r="I11" s="236"/>
    </row>
    <row r="12" spans="1:9" x14ac:dyDescent="0.25">
      <c r="A12" s="236"/>
      <c r="B12" s="236"/>
      <c r="C12" s="236"/>
      <c r="D12" s="236"/>
      <c r="E12" s="236"/>
      <c r="F12" s="236"/>
      <c r="G12" s="236"/>
      <c r="H12" s="236"/>
      <c r="I12" s="236"/>
    </row>
    <row r="13" spans="1:9" x14ac:dyDescent="0.25">
      <c r="A13" s="236"/>
      <c r="B13" s="236"/>
      <c r="C13" s="236"/>
      <c r="D13" s="236"/>
      <c r="E13" s="236"/>
      <c r="F13" s="236"/>
      <c r="G13" s="236"/>
      <c r="H13" s="236"/>
      <c r="I13" s="236"/>
    </row>
    <row r="14" spans="1:9" x14ac:dyDescent="0.25">
      <c r="A14" s="236"/>
      <c r="B14" s="236"/>
      <c r="C14" s="236"/>
      <c r="D14" s="236"/>
      <c r="E14" s="236"/>
      <c r="F14" s="236"/>
      <c r="G14" s="236"/>
      <c r="H14" s="236"/>
      <c r="I14" s="236"/>
    </row>
    <row r="15" spans="1:9" x14ac:dyDescent="0.25">
      <c r="A15" s="236"/>
      <c r="B15" s="236"/>
      <c r="C15" s="236"/>
      <c r="D15" s="236"/>
      <c r="E15" s="236"/>
      <c r="F15" s="236"/>
      <c r="G15" s="236"/>
      <c r="H15" s="236"/>
      <c r="I15" s="236"/>
    </row>
    <row r="16" spans="1:9" x14ac:dyDescent="0.25">
      <c r="A16" s="236"/>
      <c r="B16" s="236"/>
      <c r="C16" s="236"/>
      <c r="D16" s="236"/>
      <c r="E16" s="236"/>
      <c r="F16" s="236"/>
      <c r="G16" s="236"/>
      <c r="H16" s="236"/>
      <c r="I16" s="236"/>
    </row>
    <row r="17" spans="1:9" x14ac:dyDescent="0.25">
      <c r="A17" s="236"/>
      <c r="B17" s="236"/>
      <c r="C17" s="236"/>
      <c r="D17" s="236"/>
      <c r="E17" s="236"/>
      <c r="F17" s="236"/>
      <c r="G17" s="236"/>
      <c r="H17" s="236"/>
      <c r="I17" s="236"/>
    </row>
    <row r="18" spans="1:9" x14ac:dyDescent="0.25">
      <c r="A18" s="236"/>
      <c r="B18" s="236"/>
      <c r="C18" s="236"/>
      <c r="D18" s="236"/>
      <c r="E18" s="236"/>
      <c r="F18" s="236"/>
      <c r="G18" s="236"/>
      <c r="H18" s="236"/>
      <c r="I18" s="236"/>
    </row>
    <row r="19" spans="1:9" x14ac:dyDescent="0.25">
      <c r="A19" s="236"/>
      <c r="B19" s="236"/>
      <c r="C19" s="236"/>
      <c r="D19" s="236"/>
      <c r="E19" s="236"/>
      <c r="F19" s="236"/>
      <c r="G19" s="236"/>
      <c r="H19" s="236"/>
      <c r="I19" s="236"/>
    </row>
    <row r="20" spans="1:9" x14ac:dyDescent="0.25">
      <c r="A20" s="236"/>
      <c r="B20" s="236"/>
      <c r="C20" s="236"/>
      <c r="D20" s="236"/>
      <c r="E20" s="236"/>
      <c r="F20" s="236"/>
      <c r="G20" s="236"/>
      <c r="H20" s="236"/>
      <c r="I20" s="236"/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enu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190500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MENU</vt:lpstr>
      <vt:lpstr>PERFIL</vt:lpstr>
      <vt:lpstr>INVENTÁRIO</vt:lpstr>
      <vt:lpstr>DADOS ECONÔMICOS MENSAIS</vt:lpstr>
      <vt:lpstr>DADOS TÉCNICOS MENSAIS</vt:lpstr>
      <vt:lpstr>INDICADORES ECONÔMICOS MENSAIS</vt:lpstr>
      <vt:lpstr>INDICADORES TÉCNICOS MENSAIS</vt:lpstr>
      <vt:lpstr>INDICADORES ECÔNOMICOS ANUAIS</vt:lpstr>
      <vt:lpstr>INDICADORES TÉCNICOS ANUAIS</vt:lpstr>
      <vt:lpstr>CÁLCULO DO VOLUMOSO</vt:lpstr>
      <vt:lpstr>ANÁLISES</vt:lpstr>
      <vt:lpstr>GRÁFICOS</vt:lpstr>
      <vt:lpstr>RETORNO MENSAL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</dc:creator>
  <cp:lastModifiedBy>Moisés</cp:lastModifiedBy>
  <cp:lastPrinted>2015-04-14T13:44:51Z</cp:lastPrinted>
  <dcterms:created xsi:type="dcterms:W3CDTF">2015-02-08T00:04:01Z</dcterms:created>
  <dcterms:modified xsi:type="dcterms:W3CDTF">2015-05-07T02:19:22Z</dcterms:modified>
</cp:coreProperties>
</file>